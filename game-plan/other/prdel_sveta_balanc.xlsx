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y" sheetId="1" state="visible" r:id="rId3"/>
    <sheet name="Díly" sheetId="2" state="visible" r:id="rId4"/>
    <sheet name="Zbraně" sheetId="3" state="visible" r:id="rId5"/>
    <sheet name="Nepřátelé" sheetId="4" state="visible" r:id="rId6"/>
    <sheet name="Bossové" sheetId="5" state="visible" r:id="rId7"/>
    <sheet name="Účinnost" sheetId="6" state="visible" r:id="rId8"/>
    <sheet name="Vln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<sst xmlns="http://schemas.openxmlformats.org/spreadsheetml/2006/main" count="449" uniqueCount="340">
  <si>
    <t xml:space="preserve">Prdel světa — balancovací sešit</t>
  </si>
  <si>
    <t xml:space="preserve">Legenda: modré číslo = vstup, který upravuješ. Černé = vzorec, nesahat. Žlutá = klíčové páky balancu.</t>
  </si>
  <si>
    <t xml:space="preserve">Zdroj všech čísel: design dokument v0.7 (kapitoly 3–7, 20). Kde je číslo odhad, je to řečeno v komentáři.</t>
  </si>
  <si>
    <t xml:space="preserve">Parametr</t>
  </si>
  <si>
    <t xml:space="preserve">Hodnota</t>
  </si>
  <si>
    <t xml:space="preserve">Klíč</t>
  </si>
  <si>
    <t xml:space="preserve">Zdroj / poznámka</t>
  </si>
  <si>
    <t xml:space="preserve">Škálování HP nepřátel za vlnu</t>
  </si>
  <si>
    <t xml:space="preserve">hp_scale</t>
  </si>
  <si>
    <t xml:space="preserve">Dokument kap. 5: HP × 1,15^(vlna-1)</t>
  </si>
  <si>
    <t xml:space="preserve">Škálování počtu nepřátel za vlnu</t>
  </si>
  <si>
    <t xml:space="preserve">count_scale</t>
  </si>
  <si>
    <t xml:space="preserve">Dokument kap. 5: počet × 1,08^(vlna-1)</t>
  </si>
  <si>
    <t xml:space="preserve">Cílová délka vlny (s)</t>
  </si>
  <si>
    <t xml:space="preserve">wave_len</t>
  </si>
  <si>
    <t xml:space="preserve">Odhad: jak dlouho má trvat zabít celou vlnu, když je obrana OK</t>
  </si>
  <si>
    <t xml:space="preserve">Nádech mezi vlnami (s)</t>
  </si>
  <si>
    <t xml:space="preserve">breath</t>
  </si>
  <si>
    <t xml:space="preserve">Dokument kap. 2</t>
  </si>
  <si>
    <t xml:space="preserve">Podíl potřebného DPS, který kryjí zbraně</t>
  </si>
  <si>
    <t xml:space="preserve">dps_share</t>
  </si>
  <si>
    <t xml:space="preserve">Dokument kap. 6: 70 %, zbytek pasti a pláty</t>
  </si>
  <si>
    <t xml:space="preserve">Využití zbraní (uptime)</t>
  </si>
  <si>
    <t xml:space="preserve">uptime</t>
  </si>
  <si>
    <t xml:space="preserve">Odhad: zbraně nestřílí pořád — mimo dostřel, přebíjení, roztáčení</t>
  </si>
  <si>
    <t xml:space="preserve">Exponent škálování odměn s HP</t>
  </si>
  <si>
    <t xml:space="preserve">rew_k</t>
  </si>
  <si>
    <t xml:space="preserve">Odměna × (násobič HP)^exponent. 0 = odměny neškálují (model se rozpadne po vlně 12), 1 = škálují stejně jako HP (příliš lehké). 0,7 drží poměr 1,0–1,4 a ke konci mírně klesá.</t>
  </si>
  <si>
    <t xml:space="preserve">Startovní prachy</t>
  </si>
  <si>
    <t xml:space="preserve">start_money</t>
  </si>
  <si>
    <t xml:space="preserve">Dokument kap. 7</t>
  </si>
  <si>
    <t xml:space="preserve">Bonus za vlnu (základ)</t>
  </si>
  <si>
    <t xml:space="preserve">wave_bonus</t>
  </si>
  <si>
    <t xml:space="preserve">Dokument kap. 7: 20 + 5 × vlna</t>
  </si>
  <si>
    <t xml:space="preserve">Bonus za vlnu (na vlnu)</t>
  </si>
  <si>
    <t xml:space="preserve">wave_bonus_per</t>
  </si>
  <si>
    <t xml:space="preserve">Podíl prachů utracených za zbraně</t>
  </si>
  <si>
    <t xml:space="preserve">money_to_weapons</t>
  </si>
  <si>
    <t xml:space="preserve">Odhad: zbytek jde na díly, opravy, pasti</t>
  </si>
  <si>
    <t xml:space="preserve">Násobič dmg L2 (+1 projektil)</t>
  </si>
  <si>
    <t xml:space="preserve">l2_mult</t>
  </si>
  <si>
    <t xml:space="preserve">Dokument kap. 4.3: +1 projektil = 2× dmg u jednoprojektilových</t>
  </si>
  <si>
    <t xml:space="preserve">Násobič palby L3</t>
  </si>
  <si>
    <t xml:space="preserve">l3_mult</t>
  </si>
  <si>
    <t xml:space="preserve">Dokument kap. 4.3: +40 % rychlost palby</t>
  </si>
  <si>
    <t xml:space="preserve">Násobič splash/průraz L4</t>
  </si>
  <si>
    <t xml:space="preserve">l4_mult</t>
  </si>
  <si>
    <t xml:space="preserve">Dokument kap. 4.3: +50 % splash — proti davu; proti jednomu cíli 1×</t>
  </si>
  <si>
    <t xml:space="preserve">Násobič dmg L5</t>
  </si>
  <si>
    <t xml:space="preserve">l5_mult</t>
  </si>
  <si>
    <t xml:space="preserve">Dokument kap. 4.3: velký kalibr dmg ×2</t>
  </si>
  <si>
    <t xml:space="preserve">Dmg splash na vlastní díly (podíl)</t>
  </si>
  <si>
    <t xml:space="preserve">self_splash</t>
  </si>
  <si>
    <t xml:space="preserve">Dokument kap. 6</t>
  </si>
  <si>
    <t xml:space="preserve">HP jádra</t>
  </si>
  <si>
    <t xml:space="preserve">core_hp</t>
  </si>
  <si>
    <t xml:space="preserve">Dokument kap. 3.7</t>
  </si>
  <si>
    <t xml:space="preserve">Díl</t>
  </si>
  <si>
    <t xml:space="preserve">Typ</t>
  </si>
  <si>
    <t xml:space="preserve">HP</t>
  </si>
  <si>
    <t xml:space="preserve">Hmotnost (kg)</t>
  </si>
  <si>
    <t xml:space="preserve">Cena</t>
  </si>
  <si>
    <t xml:space="preserve">Síla prasknutí (N)</t>
  </si>
  <si>
    <t xml:space="preserve">HP na 1 prachy</t>
  </si>
  <si>
    <t xml:space="preserve">HP na 1 kg</t>
  </si>
  <si>
    <t xml:space="preserve">Poznámka</t>
  </si>
  <si>
    <t xml:space="preserve">Klacky</t>
  </si>
  <si>
    <t xml:space="preserve">konstrukce</t>
  </si>
  <si>
    <t xml:space="preserve">hoří</t>
  </si>
  <si>
    <t xml:space="preserve">Trámy</t>
  </si>
  <si>
    <t xml:space="preserve">hoří pomalu</t>
  </si>
  <si>
    <t xml:space="preserve">Železo</t>
  </si>
  <si>
    <t xml:space="preserve">vodí elektřinu</t>
  </si>
  <si>
    <t xml:space="preserve">Grafit</t>
  </si>
  <si>
    <t xml:space="preserve">lehké, nehoří, vzácné</t>
  </si>
  <si>
    <t xml:space="preserve">Papír</t>
  </si>
  <si>
    <t xml:space="preserve">plát</t>
  </si>
  <si>
    <t xml:space="preserve">Dřevo</t>
  </si>
  <si>
    <t xml:space="preserve">Plech</t>
  </si>
  <si>
    <t xml:space="preserve">Ocel</t>
  </si>
  <si>
    <t xml:space="preserve">Kolejnice</t>
  </si>
  <si>
    <t xml:space="preserve">Síla prasknutí je odhad z prototypu (Part.swift, Tuning) — kalibrovat podle 'max síla ve spoji'.</t>
  </si>
  <si>
    <t xml:space="preserve">Cíl: HP na 1 prachy má klesat s vyšším stupněm (platíš za hustotu ochrany, ne za efektivitu), HP na 1 kg má růst (lepší materiál = lehčí ochrana).</t>
  </si>
  <si>
    <t xml:space="preserve">Zbraň</t>
  </si>
  <si>
    <t xml:space="preserve">Dmg za výstřel</t>
  </si>
  <si>
    <t xml:space="preserve">Palba (za s)</t>
  </si>
  <si>
    <t xml:space="preserve">Projektilů</t>
  </si>
  <si>
    <t xml:space="preserve">Splash r (pt)</t>
  </si>
  <si>
    <t xml:space="preserve">Dostřel (pt)</t>
  </si>
  <si>
    <t xml:space="preserve">Zpětný ráz</t>
  </si>
  <si>
    <t xml:space="preserve">DPS L1 (1 cíl)</t>
  </si>
  <si>
    <t xml:space="preserve">DPS na 1 prachy</t>
  </si>
  <si>
    <t xml:space="preserve">DPS L2</t>
  </si>
  <si>
    <t xml:space="preserve">DPS L3</t>
  </si>
  <si>
    <t xml:space="preserve">DPS L4 (dav)</t>
  </si>
  <si>
    <t xml:space="preserve">DPS L5</t>
  </si>
  <si>
    <t xml:space="preserve">Cena L1–L5 celkem</t>
  </si>
  <si>
    <t xml:space="preserve">Kamenář</t>
  </si>
  <si>
    <t xml:space="preserve">P</t>
  </si>
  <si>
    <t xml:space="preserve">Luk</t>
  </si>
  <si>
    <t xml:space="preserve">O</t>
  </si>
  <si>
    <t xml:space="preserve">Kuš</t>
  </si>
  <si>
    <t xml:space="preserve">Dědova vzduchovka</t>
  </si>
  <si>
    <t xml:space="preserve">průraz</t>
  </si>
  <si>
    <t xml:space="preserve">Kulomet z traktoru</t>
  </si>
  <si>
    <t xml:space="preserve">Plamenomet</t>
  </si>
  <si>
    <t xml:space="preserve">P kužel</t>
  </si>
  <si>
    <t xml:space="preserve">dmg je DoT za s, palba = 1 = trvalý</t>
  </si>
  <si>
    <t xml:space="preserve">Harpuna</t>
  </si>
  <si>
    <t xml:space="preserve">+ přitažení, odhození</t>
  </si>
  <si>
    <t xml:space="preserve">Laser z DVD</t>
  </si>
  <si>
    <t xml:space="preserve">P průraz</t>
  </si>
  <si>
    <t xml:space="preserve">řada</t>
  </si>
  <si>
    <t xml:space="preserve">Minomet</t>
  </si>
  <si>
    <t xml:space="preserve">Katapult (ledničky)</t>
  </si>
  <si>
    <t xml:space="preserve">O fyzický</t>
  </si>
  <si>
    <t xml:space="preserve">+ rozmáčknutí</t>
  </si>
  <si>
    <t xml:space="preserve">Babka s hrncem</t>
  </si>
  <si>
    <t xml:space="preserve">Ohňostroj</t>
  </si>
  <si>
    <t xml:space="preserve">O náhodný</t>
  </si>
  <si>
    <t xml:space="preserve">náhodný cíl, reálně ~50 % zásahů</t>
  </si>
  <si>
    <t xml:space="preserve">Raketomet</t>
  </si>
  <si>
    <t xml:space="preserve">P/naváděné</t>
  </si>
  <si>
    <t xml:space="preserve">Trebuchet (kravky)</t>
  </si>
  <si>
    <t xml:space="preserve">Holub s granáty</t>
  </si>
  <si>
    <t xml:space="preserve">L</t>
  </si>
  <si>
    <t xml:space="preserve">letí 3 s</t>
  </si>
  <si>
    <t xml:space="preserve">Rogalo</t>
  </si>
  <si>
    <t xml:space="preserve">letí 5 s</t>
  </si>
  <si>
    <t xml:space="preserve">Balón se sudy</t>
  </si>
  <si>
    <t xml:space="preserve">letí 8 s</t>
  </si>
  <si>
    <t xml:space="preserve">Rotační kulomet na šipky</t>
  </si>
  <si>
    <t xml:space="preserve">roztáčení 1,5 s, zpomaluje</t>
  </si>
  <si>
    <t xml:space="preserve">Hasičská stříkačka na hnůj</t>
  </si>
  <si>
    <t xml:space="preserve">P proud</t>
  </si>
  <si>
    <t xml:space="preserve">dmg je DoT, hlavně odhazuje a lepí</t>
  </si>
  <si>
    <t xml:space="preserve">Vrhač včelích úlů</t>
  </si>
  <si>
    <t xml:space="preserve">roj 5 s = dmg × 5 s trvání</t>
  </si>
  <si>
    <t xml:space="preserve">Kanón na kapustu</t>
  </si>
  <si>
    <t xml:space="preserve">6 kusů, malý splash každý</t>
  </si>
  <si>
    <t xml:space="preserve">Střílna s dědou</t>
  </si>
  <si>
    <t xml:space="preserve">+5 % dmg za přežitou vlnu</t>
  </si>
  <si>
    <t xml:space="preserve">Zrcadlový periskop</t>
  </si>
  <si>
    <t xml:space="preserve">trefí za štít</t>
  </si>
  <si>
    <t xml:space="preserve">Kříž z autobaterií</t>
  </si>
  <si>
    <t xml:space="preserve">pasivní</t>
  </si>
  <si>
    <t xml:space="preserve">1 výboj za 10 s, jen kov</t>
  </si>
  <si>
    <t xml:space="preserve">Dělo na Špekouna</t>
  </si>
  <si>
    <t xml:space="preserve">munice = zabitý Špekoun</t>
  </si>
  <si>
    <t xml:space="preserve">Lepidlový minomet</t>
  </si>
  <si>
    <t xml:space="preserve">0 dmg, jen kontrola</t>
  </si>
  <si>
    <t xml:space="preserve">Kutil</t>
  </si>
  <si>
    <t xml:space="preserve">S</t>
  </si>
  <si>
    <t xml:space="preserve">opravuje 10 HP/s</t>
  </si>
  <si>
    <t xml:space="preserve">Křikloun</t>
  </si>
  <si>
    <t xml:space="preserve">omráčení</t>
  </si>
  <si>
    <t xml:space="preserve">Magnet</t>
  </si>
  <si>
    <t xml:space="preserve">přitahuje kov</t>
  </si>
  <si>
    <t xml:space="preserve">Ventilátor</t>
  </si>
  <si>
    <t xml:space="preserve">vítr</t>
  </si>
  <si>
    <t xml:space="preserve">Zvonice</t>
  </si>
  <si>
    <t xml:space="preserve">omráčení všech 1 s</t>
  </si>
  <si>
    <t xml:space="preserve">Vyhazovač</t>
  </si>
  <si>
    <t xml:space="preserve">hází zpět, sráží</t>
  </si>
  <si>
    <t xml:space="preserve">Prak na kočky</t>
  </si>
  <si>
    <t xml:space="preserve">kočka škrábe 3 s = dmg × 3</t>
  </si>
  <si>
    <t xml:space="preserve">DPS L1 = dmg × palba × projektilů (proti jednomu cíli). Splash a DoT zbraně jsou proti davu výrazně silnější — viz list Účinnost a sloupec L4 (dav).</t>
  </si>
  <si>
    <t xml:space="preserve">Cena L1–L5 = základ × (1 + 0,8 + 1,2 + 1,8 + 2,5) podle kap. 4.3. Cíl balancu: DPS na 1 prachy má být u drahých zbraní NIŽŠÍ než u levných (platíš za dosah, splash, pohodlí), jinak levné zbraně nemají smysl.</t>
  </si>
  <si>
    <t xml:space="preserve">Nejlepší DPS na 1 prachy (L1):</t>
  </si>
  <si>
    <t xml:space="preserve">Průměr DPS na 1 prachy (bez podpory):</t>
  </si>
  <si>
    <t xml:space="preserve">Nepřítel</t>
  </si>
  <si>
    <t xml:space="preserve">HP (základ)</t>
  </si>
  <si>
    <t xml:space="preserve">Dmg/s na zeď</t>
  </si>
  <si>
    <t xml:space="preserve">Rychlost (pt/s)</t>
  </si>
  <si>
    <t xml:space="preserve">Odměna (prachy)</t>
  </si>
  <si>
    <t xml:space="preserve">Od vlny</t>
  </si>
  <si>
    <t xml:space="preserve">Cíl</t>
  </si>
  <si>
    <t xml:space="preserve">Barva (role)</t>
  </si>
  <si>
    <t xml:space="preserve">HP na 1 prachy odměny</t>
  </si>
  <si>
    <t xml:space="preserve">Loudač</t>
  </si>
  <si>
    <t xml:space="preserve">zeď</t>
  </si>
  <si>
    <t xml:space="preserve">šedá</t>
  </si>
  <si>
    <t xml:space="preserve">Běžec</t>
  </si>
  <si>
    <t xml:space="preserve">brána</t>
  </si>
  <si>
    <t xml:space="preserve">červená</t>
  </si>
  <si>
    <t xml:space="preserve">proběhne past</t>
  </si>
  <si>
    <t xml:space="preserve">Boxer</t>
  </si>
  <si>
    <t xml:space="preserve">2× vs brána</t>
  </si>
  <si>
    <t xml:space="preserve">Štítonoš</t>
  </si>
  <si>
    <t xml:space="preserve">60 + dveře 100, blokuje přímou</t>
  </si>
  <si>
    <t xml:space="preserve">Lezec</t>
  </si>
  <si>
    <t xml:space="preserve">hnízda</t>
  </si>
  <si>
    <t xml:space="preserve">žlutá</t>
  </si>
  <si>
    <t xml:space="preserve">šplhá</t>
  </si>
  <si>
    <t xml:space="preserve">Házeč</t>
  </si>
  <si>
    <t xml:space="preserve">horní patra</t>
  </si>
  <si>
    <t xml:space="preserve">oblouk</t>
  </si>
  <si>
    <t xml:space="preserve">Puškař</t>
  </si>
  <si>
    <t xml:space="preserve">zbraně</t>
  </si>
  <si>
    <t xml:space="preserve">z 350 pt</t>
  </si>
  <si>
    <t xml:space="preserve">Sebevrah</t>
  </si>
  <si>
    <t xml:space="preserve">černá</t>
  </si>
  <si>
    <t xml:space="preserve">200 splash r 60 na konstrukci</t>
  </si>
  <si>
    <t xml:space="preserve">Zloděj</t>
  </si>
  <si>
    <t xml:space="preserve">modrá</t>
  </si>
  <si>
    <t xml:space="preserve">krade 15 % prachů</t>
  </si>
  <si>
    <t xml:space="preserve">Vozík</t>
  </si>
  <si>
    <t xml:space="preserve">3 tlačiči</t>
  </si>
  <si>
    <t xml:space="preserve">Rojnice (30 krys, celkem)</t>
  </si>
  <si>
    <t xml:space="preserve">vše</t>
  </si>
  <si>
    <t xml:space="preserve">30 × 1 HP</t>
  </si>
  <si>
    <t xml:space="preserve">Šaman</t>
  </si>
  <si>
    <t xml:space="preserve">–</t>
  </si>
  <si>
    <t xml:space="preserve">fialová</t>
  </si>
  <si>
    <t xml:space="preserve">+30 % rychlost okolí</t>
  </si>
  <si>
    <t xml:space="preserve">Důchodce s holí</t>
  </si>
  <si>
    <t xml:space="preserve">ignoruje zpomalení</t>
  </si>
  <si>
    <t xml:space="preserve">Kopáč</t>
  </si>
  <si>
    <t xml:space="preserve">spodní díl</t>
  </si>
  <si>
    <t xml:space="preserve">podkopává</t>
  </si>
  <si>
    <t xml:space="preserve">Černobylák</t>
  </si>
  <si>
    <t xml:space="preserve">zelená</t>
  </si>
  <si>
    <t xml:space="preserve">radiační DoT</t>
  </si>
  <si>
    <t xml:space="preserve">Nosič žebříku (2)</t>
  </si>
  <si>
    <t xml:space="preserve">umožní lezení všem</t>
  </si>
  <si>
    <t xml:space="preserve">Hejno holubů (nepř.)</t>
  </si>
  <si>
    <t xml:space="preserve">−50 % přesnost</t>
  </si>
  <si>
    <t xml:space="preserve">Kněz zkázy</t>
  </si>
  <si>
    <t xml:space="preserve">křísí 1 za 10 s</t>
  </si>
  <si>
    <t xml:space="preserve">Chlap s pneumatikou</t>
  </si>
  <si>
    <t xml:space="preserve">pneumatika fyzická</t>
  </si>
  <si>
    <t xml:space="preserve">Prodavač</t>
  </si>
  <si>
    <t xml:space="preserve">obchod nebo krysy</t>
  </si>
  <si>
    <t xml:space="preserve">Ožrala</t>
  </si>
  <si>
    <t xml:space="preserve">cikcak, hoří</t>
  </si>
  <si>
    <t xml:space="preserve">Fotograf</t>
  </si>
  <si>
    <t xml:space="preserve">další vlna cílí slabinu</t>
  </si>
  <si>
    <t xml:space="preserve">Špekoun</t>
  </si>
  <si>
    <t xml:space="preserve">hází špek, hubne</t>
  </si>
  <si>
    <t xml:space="preserve">Sekta zrcadel (3)</t>
  </si>
  <si>
    <t xml:space="preserve">odráží laser</t>
  </si>
  <si>
    <t xml:space="preserve">Babka dealerka</t>
  </si>
  <si>
    <t xml:space="preserve">zbraně 6 s náhodně</t>
  </si>
  <si>
    <t xml:space="preserve">Chlap v bublině</t>
  </si>
  <si>
    <t xml:space="preserve">imunní přímé</t>
  </si>
  <si>
    <t xml:space="preserve">Sněhulák z popela</t>
  </si>
  <si>
    <t xml:space="preserve">pasti</t>
  </si>
  <si>
    <t xml:space="preserve">hasí</t>
  </si>
  <si>
    <t xml:space="preserve">Kříženec prasete a motorky</t>
  </si>
  <si>
    <t xml:space="preserve">drop šrot</t>
  </si>
  <si>
    <t xml:space="preserve">Zubař</t>
  </si>
  <si>
    <t xml:space="preserve">díly</t>
  </si>
  <si>
    <t xml:space="preserve">trhá nejmenší díl</t>
  </si>
  <si>
    <t xml:space="preserve">Chlap s mikrovlnkou</t>
  </si>
  <si>
    <t xml:space="preserve">kovové pláty</t>
  </si>
  <si>
    <t xml:space="preserve">ohřívá</t>
  </si>
  <si>
    <t xml:space="preserve">Kolona důchodců (6)</t>
  </si>
  <si>
    <t xml:space="preserve">6 × 60</t>
  </si>
  <si>
    <t xml:space="preserve">Ex</t>
  </si>
  <si>
    <t xml:space="preserve">jádro</t>
  </si>
  <si>
    <t xml:space="preserve">jen jádro, mezerami</t>
  </si>
  <si>
    <t xml:space="preserve">Vlk v přestrojení</t>
  </si>
  <si>
    <t xml:space="preserve">snižuje level</t>
  </si>
  <si>
    <t xml:space="preserve">HP a odměny nepřátel z brainstormu (Důchodce dál) jsou odhady — dokument u nich čísla neměl. Cíl: HP na 1 prachy odměny kolem 3–6; vyšší = nepřítel je 'nevýnosný' a hráč ho má důvod nechat pastem.</t>
  </si>
  <si>
    <t xml:space="preserve">Boss</t>
  </si>
  <si>
    <t xml:space="preserve">Vlna</t>
  </si>
  <si>
    <t xml:space="preserve">Odměna</t>
  </si>
  <si>
    <t xml:space="preserve">Cíl zabít do (s)</t>
  </si>
  <si>
    <t xml:space="preserve">Potřebné DPS (jen boss)</t>
  </si>
  <si>
    <t xml:space="preserve">Průraz ×1,5 → DPS</t>
  </si>
  <si>
    <t xml:space="preserve">Babička s válečkem</t>
  </si>
  <si>
    <t xml:space="preserve">údery = impulz</t>
  </si>
  <si>
    <t xml:space="preserve">Traktor</t>
  </si>
  <si>
    <t xml:space="preserve">obrněný zepředu</t>
  </si>
  <si>
    <t xml:space="preserve">Kolos z ledniček</t>
  </si>
  <si>
    <t xml:space="preserve">odpadávají ledničky</t>
  </si>
  <si>
    <t xml:space="preserve">Bývalý starosta</t>
  </si>
  <si>
    <t xml:space="preserve">omračuje zbraně</t>
  </si>
  <si>
    <t xml:space="preserve">Přerostlý kanec</t>
  </si>
  <si>
    <t xml:space="preserve">nárazy</t>
  </si>
  <si>
    <t xml:space="preserve">Tchyně</t>
  </si>
  <si>
    <t xml:space="preserve">brána z beznaděje</t>
  </si>
  <si>
    <t xml:space="preserve">Zeppelin z matrací</t>
  </si>
  <si>
    <t xml:space="preserve">jen létající + vzduchovka</t>
  </si>
  <si>
    <t xml:space="preserve">Dvojčata (2×)</t>
  </si>
  <si>
    <t xml:space="preserve">sdílený bar</t>
  </si>
  <si>
    <t xml:space="preserve">Ty z minulého běhu</t>
  </si>
  <si>
    <t xml:space="preserve">HP = tvá bývalá pevnost</t>
  </si>
  <si>
    <t xml:space="preserve">Matka všech krys</t>
  </si>
  <si>
    <t xml:space="preserve">jen splash</t>
  </si>
  <si>
    <t xml:space="preserve">Řetěz (20 Loudačů)</t>
  </si>
  <si>
    <t xml:space="preserve">HP = 20 × Loudač × škálování</t>
  </si>
  <si>
    <t xml:space="preserve">Soudruh Generalissimus</t>
  </si>
  <si>
    <t xml:space="preserve">garda, Gulag, jehly</t>
  </si>
  <si>
    <t xml:space="preserve">Profesor Relativita</t>
  </si>
  <si>
    <t xml:space="preserve">černé díry</t>
  </si>
  <si>
    <t xml:space="preserve">Chuchvalec</t>
  </si>
  <si>
    <t xml:space="preserve">srostlina 4 bossů</t>
  </si>
  <si>
    <t xml:space="preserve">'Cíl zabít do' je odhad — nad 60 s je bonus ×1,2 v metě pryč (kap. 20.1). Bossové HP neškálují s vlnou, škáluje jen doprovod.</t>
  </si>
  <si>
    <t xml:space="preserve">Typ dmg \ cíl</t>
  </si>
  <si>
    <t xml:space="preserve">Papír/dřevo</t>
  </si>
  <si>
    <t xml:space="preserve">Plech/ocel</t>
  </si>
  <si>
    <t xml:space="preserve">Drápání/pěst</t>
  </si>
  <si>
    <t xml:space="preserve">Oheň</t>
  </si>
  <si>
    <t xml:space="preserve">Výbuch</t>
  </si>
  <si>
    <t xml:space="preserve">Průraz</t>
  </si>
  <si>
    <t xml:space="preserve">Elektřina</t>
  </si>
  <si>
    <t xml:space="preserve">Rozmáčknutí (fyzika)</t>
  </si>
  <si>
    <t xml:space="preserve">Dokument kap. 6. Rozmáčknutí: dmg = hmotnost × rychlost × 3 (na nepřátele), násobič pro bosse 0,2. Splash: dmg = base × (1 − d/r)², na vlastní díly × 0,5.</t>
  </si>
  <si>
    <t xml:space="preserve">Splash kalkulačka</t>
  </si>
  <si>
    <t xml:space="preserve">Základní dmg</t>
  </si>
  <si>
    <t xml:space="preserve">Poloměr r</t>
  </si>
  <si>
    <t xml:space="preserve">Vzdálenost d</t>
  </si>
  <si>
    <t xml:space="preserve">Dmg na nepřítele</t>
  </si>
  <si>
    <t xml:space="preserve">Dmg na vlastní díl</t>
  </si>
  <si>
    <t xml:space="preserve">Základní počet při první vlně výskytu →</t>
  </si>
  <si>
    <t xml:space="preserve">Od vlny (z listu Nepřátelé) →</t>
  </si>
  <si>
    <t xml:space="preserve">Násobič HP</t>
  </si>
  <si>
    <t xml:space="preserve">Násobič počtu</t>
  </si>
  <si>
    <t xml:space="preserve">Nepřátel celkem</t>
  </si>
  <si>
    <t xml:space="preserve">HP vlny celkem</t>
  </si>
  <si>
    <t xml:space="preserve">Dmg/s na zeď celkem</t>
  </si>
  <si>
    <t xml:space="preserve">Odměna za nepřátele</t>
  </si>
  <si>
    <t xml:space="preserve">Bonus za vlnu</t>
  </si>
  <si>
    <t xml:space="preserve">Kumulované prachy</t>
  </si>
  <si>
    <t xml:space="preserve">Potřebné DPS (celé)</t>
  </si>
  <si>
    <t xml:space="preserve">Potřebné DPS zbraní</t>
  </si>
  <si>
    <t xml:space="preserve">Koupitelné DPS zbraní</t>
  </si>
  <si>
    <t xml:space="preserve">Poměr koupitelné/potřebné</t>
  </si>
  <si>
    <t xml:space="preserve">Stav</t>
  </si>
  <si>
    <t xml:space="preserve">Soudruh</t>
  </si>
  <si>
    <t xml:space="preserve">Babička/Starosta/Tchyně/Řetěz</t>
  </si>
  <si>
    <t xml:space="preserve">minibos</t>
  </si>
  <si>
    <t xml:space="preserve">velký boss</t>
  </si>
  <si>
    <t xml:space="preserve">Jak to číst: každá vlna má složení (počty podle základního počtu × 1,08^(vlna − první výskyt)). HP vlny = součet HP × 1,15^(vlna−1). Odměny × (násobič HP)^0,7 — bez toho příjem nestíhá HP a od vlny 12 je hra na papíře neprůchozí.</t>
  </si>
  <si>
    <t xml:space="preserve">Potřebné DPS = HP vlny / cílová délka vlny. Zbraně mají krýt 70 % (Parametry), zbytek pasti, pláty, pád dílů.</t>
  </si>
  <si>
    <t xml:space="preserve">Koupitelné DPS = prachy, které hráč měl před vlnou × podíl utracený za zbraně × průměrné DPS na 1 prachy × uptime. Je to hrubý model — nepočítá levely ani splash proti davu.</t>
  </si>
  <si>
    <t xml:space="preserve">Stav: poměr pod 0,8 = vlna je na papíře neprůchozí, nad 2 = nuda. Cíl je pásmo 1,0–1,5 s mírným poklesem ke konci (hráč má kompenzovat levely a splash, které model nezná).</t>
  </si>
  <si>
    <t xml:space="preserve">Páky balancu (žluté): základní počty v řádku 1, škálování, délka vlny, uptime. Bossové v tabulce nejsou započítáni — přičti HP z listu Bossové ručně do vlny, kde chodí.</t>
  </si>
  <si>
    <t xml:space="preserve">Nepřátelé bez čísel v modelu (Nosič, Kněz, Prodavač, Fotograf, Zubař…) mají hlavně mechaniku, ne HP — do modelu je nepřidávej, řeš je jako 'modifikátor vlny'.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</si>
</sst>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General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4" t="s">
        <v>7</v>
      </c>
      <c r="B6" s="5" t="n">
        <v>1.15</v>
      </c>
      <c r="C6" s="6" t="s">
        <v>8</v>
      </c>
      <c r="D6" s="4" t="s">
        <v>9</v>
      </c>
    </row>
    <row r="7" customFormat="false" ht="15" hidden="false" customHeight="false" outlineLevel="0" collapsed="false">
      <c r="A7" s="4" t="s">
        <v>10</v>
      </c>
      <c r="B7" s="5" t="n">
        <v>1.08</v>
      </c>
      <c r="C7" s="6" t="s">
        <v>11</v>
      </c>
      <c r="D7" s="4" t="s">
        <v>12</v>
      </c>
    </row>
    <row r="8" customFormat="false" ht="15" hidden="false" customHeight="false" outlineLevel="0" collapsed="false">
      <c r="A8" s="4" t="s">
        <v>13</v>
      </c>
      <c r="B8" s="5" t="n">
        <v>45</v>
      </c>
      <c r="C8" s="6" t="s">
        <v>14</v>
      </c>
      <c r="D8" s="4" t="s">
        <v>15</v>
      </c>
    </row>
    <row r="9" customFormat="false" ht="15" hidden="false" customHeight="false" outlineLevel="0" collapsed="false">
      <c r="A9" s="4" t="s">
        <v>16</v>
      </c>
      <c r="B9" s="7" t="n">
        <v>8</v>
      </c>
      <c r="C9" s="6" t="s">
        <v>17</v>
      </c>
      <c r="D9" s="4" t="s">
        <v>18</v>
      </c>
    </row>
    <row r="10" customFormat="false" ht="15" hidden="false" customHeight="false" outlineLevel="0" collapsed="false">
      <c r="A10" s="4" t="s">
        <v>19</v>
      </c>
      <c r="B10" s="5" t="n">
        <v>0.7</v>
      </c>
      <c r="C10" s="6" t="s">
        <v>20</v>
      </c>
      <c r="D10" s="4" t="s">
        <v>21</v>
      </c>
    </row>
    <row r="11" customFormat="false" ht="15" hidden="false" customHeight="false" outlineLevel="0" collapsed="false">
      <c r="A11" s="4" t="s">
        <v>22</v>
      </c>
      <c r="B11" s="5" t="n">
        <v>0.6</v>
      </c>
      <c r="C11" s="6" t="s">
        <v>23</v>
      </c>
      <c r="D11" s="4" t="s">
        <v>24</v>
      </c>
    </row>
    <row r="12" customFormat="false" ht="15" hidden="false" customHeight="false" outlineLevel="0" collapsed="false">
      <c r="A12" s="4" t="s">
        <v>25</v>
      </c>
      <c r="B12" s="5" t="n">
        <v>0.7</v>
      </c>
      <c r="C12" s="6" t="s">
        <v>26</v>
      </c>
      <c r="D12" s="4" t="s">
        <v>27</v>
      </c>
    </row>
    <row r="13" customFormat="false" ht="15" hidden="false" customHeight="false" outlineLevel="0" collapsed="false">
      <c r="A13" s="4" t="s">
        <v>28</v>
      </c>
      <c r="B13" s="7" t="n">
        <v>200</v>
      </c>
      <c r="C13" s="6" t="s">
        <v>29</v>
      </c>
      <c r="D13" s="4" t="s">
        <v>30</v>
      </c>
    </row>
    <row r="14" customFormat="false" ht="15" hidden="false" customHeight="false" outlineLevel="0" collapsed="false">
      <c r="A14" s="4" t="s">
        <v>31</v>
      </c>
      <c r="B14" s="7" t="n">
        <v>20</v>
      </c>
      <c r="C14" s="6" t="s">
        <v>32</v>
      </c>
      <c r="D14" s="4" t="s">
        <v>33</v>
      </c>
    </row>
    <row r="15" customFormat="false" ht="15" hidden="false" customHeight="false" outlineLevel="0" collapsed="false">
      <c r="A15" s="4" t="s">
        <v>34</v>
      </c>
      <c r="B15" s="7" t="n">
        <v>5</v>
      </c>
      <c r="C15" s="6" t="s">
        <v>35</v>
      </c>
      <c r="D15" s="4" t="s">
        <v>30</v>
      </c>
    </row>
    <row r="16" customFormat="false" ht="15" hidden="false" customHeight="false" outlineLevel="0" collapsed="false">
      <c r="A16" s="4" t="s">
        <v>36</v>
      </c>
      <c r="B16" s="7" t="n">
        <v>0.6</v>
      </c>
      <c r="C16" s="6" t="s">
        <v>37</v>
      </c>
      <c r="D16" s="4" t="s">
        <v>38</v>
      </c>
    </row>
    <row r="17" customFormat="false" ht="15" hidden="false" customHeight="false" outlineLevel="0" collapsed="false">
      <c r="A17" s="4" t="s">
        <v>39</v>
      </c>
      <c r="B17" s="7" t="n">
        <v>2</v>
      </c>
      <c r="C17" s="6" t="s">
        <v>40</v>
      </c>
      <c r="D17" s="4" t="s">
        <v>41</v>
      </c>
    </row>
    <row r="18" customFormat="false" ht="15" hidden="false" customHeight="false" outlineLevel="0" collapsed="false">
      <c r="A18" s="4" t="s">
        <v>42</v>
      </c>
      <c r="B18" s="7" t="n">
        <v>1.4</v>
      </c>
      <c r="C18" s="6" t="s">
        <v>43</v>
      </c>
      <c r="D18" s="4" t="s">
        <v>44</v>
      </c>
    </row>
    <row r="19" customFormat="false" ht="15" hidden="false" customHeight="false" outlineLevel="0" collapsed="false">
      <c r="A19" s="4" t="s">
        <v>45</v>
      </c>
      <c r="B19" s="7" t="n">
        <v>1.5</v>
      </c>
      <c r="C19" s="6" t="s">
        <v>46</v>
      </c>
      <c r="D19" s="4" t="s">
        <v>47</v>
      </c>
    </row>
    <row r="20" customFormat="false" ht="15" hidden="false" customHeight="false" outlineLevel="0" collapsed="false">
      <c r="A20" s="4" t="s">
        <v>48</v>
      </c>
      <c r="B20" s="7" t="n">
        <v>2</v>
      </c>
      <c r="C20" s="6" t="s">
        <v>49</v>
      </c>
      <c r="D20" s="4" t="s">
        <v>50</v>
      </c>
    </row>
    <row r="21" customFormat="false" ht="15" hidden="false" customHeight="false" outlineLevel="0" collapsed="false">
      <c r="A21" s="4" t="s">
        <v>51</v>
      </c>
      <c r="B21" s="7" t="n">
        <v>0.5</v>
      </c>
      <c r="C21" s="6" t="s">
        <v>52</v>
      </c>
      <c r="D21" s="4" t="s">
        <v>53</v>
      </c>
    </row>
    <row r="22" customFormat="false" ht="15" hidden="false" customHeight="false" outlineLevel="0" collapsed="false">
      <c r="A22" s="4" t="s">
        <v>54</v>
      </c>
      <c r="B22" s="7" t="n">
        <v>1000</v>
      </c>
      <c r="C22" s="6" t="s">
        <v>55</v>
      </c>
      <c r="D22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customFormat="false" ht="15" hidden="false" customHeight="false" outlineLevel="0" collapsed="false">
      <c r="A2" s="4" t="s">
        <v>66</v>
      </c>
      <c r="B2" s="4" t="s">
        <v>67</v>
      </c>
      <c r="C2" s="7" t="n">
        <v>40</v>
      </c>
      <c r="D2" s="7" t="n">
        <v>1</v>
      </c>
      <c r="E2" s="7" t="n">
        <v>5</v>
      </c>
      <c r="F2" s="7" t="n">
        <v>180</v>
      </c>
      <c r="G2" s="8" t="n">
        <f aca="false">IF(E2=0,0,C2/E2)</f>
        <v>8</v>
      </c>
      <c r="H2" s="8" t="n">
        <f aca="false">IF(D2=0,0,C2/D2)</f>
        <v>40</v>
      </c>
      <c r="I2" s="4" t="s">
        <v>68</v>
      </c>
    </row>
    <row r="3" customFormat="false" ht="15" hidden="false" customHeight="false" outlineLevel="0" collapsed="false">
      <c r="A3" s="4" t="s">
        <v>69</v>
      </c>
      <c r="B3" s="4" t="s">
        <v>67</v>
      </c>
      <c r="C3" s="7" t="n">
        <v>120</v>
      </c>
      <c r="D3" s="7" t="n">
        <v>3</v>
      </c>
      <c r="E3" s="7" t="n">
        <v>20</v>
      </c>
      <c r="F3" s="7" t="n">
        <v>700</v>
      </c>
      <c r="G3" s="8" t="n">
        <f aca="false">IF(E3=0,0,C3/E3)</f>
        <v>6</v>
      </c>
      <c r="H3" s="8" t="n">
        <f aca="false">IF(D3=0,0,C3/D3)</f>
        <v>40</v>
      </c>
      <c r="I3" s="4" t="s">
        <v>70</v>
      </c>
    </row>
    <row r="4" customFormat="false" ht="15" hidden="false" customHeight="false" outlineLevel="0" collapsed="false">
      <c r="A4" s="4" t="s">
        <v>71</v>
      </c>
      <c r="B4" s="4" t="s">
        <v>67</v>
      </c>
      <c r="C4" s="7" t="n">
        <v>350</v>
      </c>
      <c r="D4" s="7" t="n">
        <v>8</v>
      </c>
      <c r="E4" s="7" t="n">
        <v>80</v>
      </c>
      <c r="F4" s="7" t="n">
        <v>2600</v>
      </c>
      <c r="G4" s="8" t="n">
        <f aca="false">IF(E4=0,0,C4/E4)</f>
        <v>4.375</v>
      </c>
      <c r="H4" s="8" t="n">
        <f aca="false">IF(D4=0,0,C4/D4)</f>
        <v>43.75</v>
      </c>
      <c r="I4" s="4" t="s">
        <v>72</v>
      </c>
    </row>
    <row r="5" customFormat="false" ht="15" hidden="false" customHeight="false" outlineLevel="0" collapsed="false">
      <c r="A5" s="4" t="s">
        <v>73</v>
      </c>
      <c r="B5" s="4" t="s">
        <v>67</v>
      </c>
      <c r="C5" s="7" t="n">
        <v>900</v>
      </c>
      <c r="D5" s="7" t="n">
        <v>4</v>
      </c>
      <c r="E5" s="7" t="n">
        <v>300</v>
      </c>
      <c r="F5" s="7" t="n">
        <v>6000</v>
      </c>
      <c r="G5" s="8" t="n">
        <f aca="false">IF(E5=0,0,C5/E5)</f>
        <v>3</v>
      </c>
      <c r="H5" s="8" t="n">
        <f aca="false">IF(D5=0,0,C5/D5)</f>
        <v>225</v>
      </c>
      <c r="I5" s="4" t="s">
        <v>74</v>
      </c>
    </row>
    <row r="6" customFormat="false" ht="15" hidden="false" customHeight="false" outlineLevel="0" collapsed="false">
      <c r="A6" s="4" t="s">
        <v>75</v>
      </c>
      <c r="B6" s="4" t="s">
        <v>76</v>
      </c>
      <c r="C6" s="7" t="n">
        <v>30</v>
      </c>
      <c r="D6" s="7" t="n">
        <v>0.5</v>
      </c>
      <c r="E6" s="7" t="n">
        <v>3</v>
      </c>
      <c r="F6" s="7" t="n">
        <v>120</v>
      </c>
      <c r="G6" s="8" t="n">
        <f aca="false">IF(E6=0,0,C6/E6)</f>
        <v>10</v>
      </c>
      <c r="H6" s="8" t="n">
        <f aca="false">IF(D6=0,0,C6/D6)</f>
        <v>60</v>
      </c>
      <c r="I6" s="4"/>
    </row>
    <row r="7" customFormat="false" ht="15" hidden="false" customHeight="false" outlineLevel="0" collapsed="false">
      <c r="A7" s="4" t="s">
        <v>77</v>
      </c>
      <c r="B7" s="4" t="s">
        <v>76</v>
      </c>
      <c r="C7" s="7" t="n">
        <v>100</v>
      </c>
      <c r="D7" s="7" t="n">
        <v>2</v>
      </c>
      <c r="E7" s="7" t="n">
        <v>15</v>
      </c>
      <c r="F7" s="7" t="n">
        <v>600</v>
      </c>
      <c r="G7" s="8" t="n">
        <f aca="false">IF(E7=0,0,C7/E7)</f>
        <v>6.66666666666667</v>
      </c>
      <c r="H7" s="8" t="n">
        <f aca="false">IF(D7=0,0,C7/D7)</f>
        <v>50</v>
      </c>
      <c r="I7" s="4"/>
    </row>
    <row r="8" customFormat="false" ht="15" hidden="false" customHeight="false" outlineLevel="0" collapsed="false">
      <c r="A8" s="4" t="s">
        <v>78</v>
      </c>
      <c r="B8" s="4" t="s">
        <v>76</v>
      </c>
      <c r="C8" s="7" t="n">
        <v>250</v>
      </c>
      <c r="D8" s="7" t="n">
        <v>4</v>
      </c>
      <c r="E8" s="7" t="n">
        <v>50</v>
      </c>
      <c r="F8" s="7" t="n">
        <v>1800</v>
      </c>
      <c r="G8" s="8" t="n">
        <f aca="false">IF(E8=0,0,C8/E8)</f>
        <v>5</v>
      </c>
      <c r="H8" s="8" t="n">
        <f aca="false">IF(D8=0,0,C8/D8)</f>
        <v>62.5</v>
      </c>
      <c r="I8" s="4"/>
    </row>
    <row r="9" customFormat="false" ht="15" hidden="false" customHeight="false" outlineLevel="0" collapsed="false">
      <c r="A9" s="4" t="s">
        <v>79</v>
      </c>
      <c r="B9" s="4" t="s">
        <v>76</v>
      </c>
      <c r="C9" s="7" t="n">
        <v>600</v>
      </c>
      <c r="D9" s="7" t="n">
        <v>9</v>
      </c>
      <c r="E9" s="7" t="n">
        <v>180</v>
      </c>
      <c r="F9" s="7" t="n">
        <v>4000</v>
      </c>
      <c r="G9" s="8" t="n">
        <f aca="false">IF(E9=0,0,C9/E9)</f>
        <v>3.33333333333333</v>
      </c>
      <c r="H9" s="8" t="n">
        <f aca="false">IF(D9=0,0,C9/D9)</f>
        <v>66.6666666666667</v>
      </c>
      <c r="I9" s="4"/>
    </row>
    <row r="10" customFormat="false" ht="15" hidden="false" customHeight="false" outlineLevel="0" collapsed="false">
      <c r="A10" s="4" t="s">
        <v>80</v>
      </c>
      <c r="B10" s="4" t="s">
        <v>76</v>
      </c>
      <c r="C10" s="7" t="n">
        <v>1400</v>
      </c>
      <c r="D10" s="7" t="n">
        <v>16</v>
      </c>
      <c r="E10" s="7" t="n">
        <v>500</v>
      </c>
      <c r="F10" s="7" t="n">
        <v>9000</v>
      </c>
      <c r="G10" s="8" t="n">
        <f aca="false">IF(E10=0,0,C10/E10)</f>
        <v>2.8</v>
      </c>
      <c r="H10" s="8" t="n">
        <f aca="false">IF(D10=0,0,C10/D10)</f>
        <v>87.5</v>
      </c>
      <c r="I10" s="4"/>
    </row>
    <row r="12" customFormat="false" ht="15" hidden="false" customHeight="false" outlineLevel="0" collapsed="false">
      <c r="A12" s="2" t="s">
        <v>81</v>
      </c>
    </row>
    <row r="13" customFormat="false" ht="15" hidden="false" customHeight="false" outlineLevel="0" collapsed="false">
      <c r="A13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3" min="12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34"/>
  </cols>
  <sheetData>
    <row r="1" customFormat="false" ht="31.5" hidden="false" customHeight="true" outlineLevel="0" collapsed="false">
      <c r="A1" s="3" t="s">
        <v>83</v>
      </c>
      <c r="B1" s="3" t="s">
        <v>58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61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  <c r="Q1" s="3" t="s">
        <v>65</v>
      </c>
    </row>
    <row r="2" customFormat="false" ht="15" hidden="false" customHeight="false" outlineLevel="0" collapsed="false">
      <c r="A2" s="4" t="s">
        <v>97</v>
      </c>
      <c r="B2" s="4" t="s">
        <v>98</v>
      </c>
      <c r="C2" s="7" t="n">
        <v>8</v>
      </c>
      <c r="D2" s="7" t="n">
        <v>1.5</v>
      </c>
      <c r="E2" s="7" t="n">
        <v>1</v>
      </c>
      <c r="F2" s="7" t="n">
        <v>0</v>
      </c>
      <c r="G2" s="7" t="n">
        <v>250</v>
      </c>
      <c r="H2" s="7" t="n">
        <v>30</v>
      </c>
      <c r="I2" s="7" t="n">
        <v>0</v>
      </c>
      <c r="J2" s="8" t="n">
        <f aca="false">C2*D2*E2</f>
        <v>12</v>
      </c>
      <c r="K2" s="8" t="n">
        <f aca="false">IF(H2=0,0,J2/H2)</f>
        <v>0.4</v>
      </c>
      <c r="L2" s="8" t="n">
        <f aca="false">J2*Parametry!$B$17</f>
        <v>24</v>
      </c>
      <c r="M2" s="8" t="n">
        <f aca="false">L2*Parametry!$B$18</f>
        <v>33.6</v>
      </c>
      <c r="N2" s="8" t="n">
        <f aca="false">M2*IF(F2&gt;0,Parametry!$B$19,1)</f>
        <v>33.6</v>
      </c>
      <c r="O2" s="8" t="n">
        <f aca="false">N2*Parametry!$B$20</f>
        <v>67.2</v>
      </c>
      <c r="P2" s="4" t="n">
        <f aca="false">H2*(1+0.8+1.2+1.8+2.5)</f>
        <v>219</v>
      </c>
      <c r="Q2" s="4"/>
    </row>
    <row r="3" customFormat="false" ht="15" hidden="false" customHeight="false" outlineLevel="0" collapsed="false">
      <c r="A3" s="4" t="s">
        <v>99</v>
      </c>
      <c r="B3" s="4" t="s">
        <v>100</v>
      </c>
      <c r="C3" s="7" t="n">
        <v>12</v>
      </c>
      <c r="D3" s="7" t="n">
        <v>1.2</v>
      </c>
      <c r="E3" s="7" t="n">
        <v>1</v>
      </c>
      <c r="F3" s="7" t="n">
        <v>0</v>
      </c>
      <c r="G3" s="7" t="n">
        <v>400</v>
      </c>
      <c r="H3" s="7" t="n">
        <v>50</v>
      </c>
      <c r="I3" s="7" t="n">
        <v>0</v>
      </c>
      <c r="J3" s="8" t="n">
        <f aca="false">C3*D3*E3</f>
        <v>14.4</v>
      </c>
      <c r="K3" s="8" t="n">
        <f aca="false">IF(H3=0,0,J3/H3)</f>
        <v>0.288</v>
      </c>
      <c r="L3" s="8" t="n">
        <f aca="false">J3*Parametry!$B$17</f>
        <v>28.8</v>
      </c>
      <c r="M3" s="8" t="n">
        <f aca="false">L3*Parametry!$B$18</f>
        <v>40.32</v>
      </c>
      <c r="N3" s="8" t="n">
        <f aca="false">M3*IF(F3&gt;0,Parametry!$B$19,1)</f>
        <v>40.32</v>
      </c>
      <c r="O3" s="8" t="n">
        <f aca="false">N3*Parametry!$B$20</f>
        <v>80.64</v>
      </c>
      <c r="P3" s="4" t="n">
        <f aca="false">H3*(1+0.8+1.2+1.8+2.5)</f>
        <v>365</v>
      </c>
      <c r="Q3" s="4"/>
    </row>
    <row r="4" customFormat="false" ht="15" hidden="false" customHeight="false" outlineLevel="0" collapsed="false">
      <c r="A4" s="4" t="s">
        <v>101</v>
      </c>
      <c r="B4" s="4" t="s">
        <v>98</v>
      </c>
      <c r="C4" s="7" t="n">
        <v>30</v>
      </c>
      <c r="D4" s="7" t="n">
        <v>0.5</v>
      </c>
      <c r="E4" s="7" t="n">
        <v>1</v>
      </c>
      <c r="F4" s="7" t="n">
        <v>0</v>
      </c>
      <c r="G4" s="7" t="n">
        <v>350</v>
      </c>
      <c r="H4" s="7" t="n">
        <v>90</v>
      </c>
      <c r="I4" s="7" t="n">
        <v>1</v>
      </c>
      <c r="J4" s="8" t="n">
        <f aca="false">C4*D4*E4</f>
        <v>15</v>
      </c>
      <c r="K4" s="8" t="n">
        <f aca="false">IF(H4=0,0,J4/H4)</f>
        <v>0.166666666666667</v>
      </c>
      <c r="L4" s="8" t="n">
        <f aca="false">J4*Parametry!$B$17</f>
        <v>30</v>
      </c>
      <c r="M4" s="8" t="n">
        <f aca="false">L4*Parametry!$B$18</f>
        <v>42</v>
      </c>
      <c r="N4" s="8" t="n">
        <f aca="false">M4*IF(F4&gt;0,Parametry!$B$19,1)</f>
        <v>42</v>
      </c>
      <c r="O4" s="8" t="n">
        <f aca="false">N4*Parametry!$B$20</f>
        <v>84</v>
      </c>
      <c r="P4" s="4" t="n">
        <f aca="false">H4*(1+0.8+1.2+1.8+2.5)</f>
        <v>657</v>
      </c>
      <c r="Q4" s="4"/>
    </row>
    <row r="5" customFormat="false" ht="15" hidden="false" customHeight="false" outlineLevel="0" collapsed="false">
      <c r="A5" s="4" t="s">
        <v>102</v>
      </c>
      <c r="B5" s="4" t="s">
        <v>98</v>
      </c>
      <c r="C5" s="7" t="n">
        <v>60</v>
      </c>
      <c r="D5" s="7" t="n">
        <v>0.3</v>
      </c>
      <c r="E5" s="7" t="n">
        <v>1</v>
      </c>
      <c r="F5" s="7" t="n">
        <v>0</v>
      </c>
      <c r="G5" s="7" t="n">
        <v>600</v>
      </c>
      <c r="H5" s="7" t="n">
        <v>150</v>
      </c>
      <c r="I5" s="7" t="n">
        <v>1</v>
      </c>
      <c r="J5" s="8" t="n">
        <f aca="false">C5*D5*E5</f>
        <v>18</v>
      </c>
      <c r="K5" s="8" t="n">
        <f aca="false">IF(H5=0,0,J5/H5)</f>
        <v>0.12</v>
      </c>
      <c r="L5" s="8" t="n">
        <f aca="false">J5*Parametry!$B$17</f>
        <v>36</v>
      </c>
      <c r="M5" s="8" t="n">
        <f aca="false">L5*Parametry!$B$18</f>
        <v>50.4</v>
      </c>
      <c r="N5" s="8" t="n">
        <f aca="false">M5*IF(F5&gt;0,Parametry!$B$19,1)</f>
        <v>50.4</v>
      </c>
      <c r="O5" s="8" t="n">
        <f aca="false">N5*Parametry!$B$20</f>
        <v>100.8</v>
      </c>
      <c r="P5" s="4" t="n">
        <f aca="false">H5*(1+0.8+1.2+1.8+2.5)</f>
        <v>1095</v>
      </c>
      <c r="Q5" s="4" t="s">
        <v>103</v>
      </c>
    </row>
    <row r="6" customFormat="false" ht="15" hidden="false" customHeight="false" outlineLevel="0" collapsed="false">
      <c r="A6" s="4" t="s">
        <v>104</v>
      </c>
      <c r="B6" s="4" t="s">
        <v>98</v>
      </c>
      <c r="C6" s="7" t="n">
        <v>6</v>
      </c>
      <c r="D6" s="7" t="n">
        <v>8</v>
      </c>
      <c r="E6" s="7" t="n">
        <v>1</v>
      </c>
      <c r="F6" s="7" t="n">
        <v>0</v>
      </c>
      <c r="G6" s="7" t="n">
        <v>300</v>
      </c>
      <c r="H6" s="7" t="n">
        <v>250</v>
      </c>
      <c r="I6" s="7" t="n">
        <v>3</v>
      </c>
      <c r="J6" s="8" t="n">
        <f aca="false">C6*D6*E6</f>
        <v>48</v>
      </c>
      <c r="K6" s="8" t="n">
        <f aca="false">IF(H6=0,0,J6/H6)</f>
        <v>0.192</v>
      </c>
      <c r="L6" s="8" t="n">
        <f aca="false">J6*Parametry!$B$17</f>
        <v>96</v>
      </c>
      <c r="M6" s="8" t="n">
        <f aca="false">L6*Parametry!$B$18</f>
        <v>134.4</v>
      </c>
      <c r="N6" s="8" t="n">
        <f aca="false">M6*IF(F6&gt;0,Parametry!$B$19,1)</f>
        <v>134.4</v>
      </c>
      <c r="O6" s="8" t="n">
        <f aca="false">N6*Parametry!$B$20</f>
        <v>268.8</v>
      </c>
      <c r="P6" s="4" t="n">
        <f aca="false">H6*(1+0.8+1.2+1.8+2.5)</f>
        <v>1825</v>
      </c>
      <c r="Q6" s="4"/>
    </row>
    <row r="7" customFormat="false" ht="15" hidden="false" customHeight="false" outlineLevel="0" collapsed="false">
      <c r="A7" s="4" t="s">
        <v>105</v>
      </c>
      <c r="B7" s="4" t="s">
        <v>106</v>
      </c>
      <c r="C7" s="7" t="n">
        <v>4</v>
      </c>
      <c r="D7" s="7" t="n">
        <v>1</v>
      </c>
      <c r="E7" s="7" t="n">
        <v>1</v>
      </c>
      <c r="F7" s="7" t="n">
        <v>40</v>
      </c>
      <c r="G7" s="7" t="n">
        <v>120</v>
      </c>
      <c r="H7" s="7" t="n">
        <v>200</v>
      </c>
      <c r="I7" s="7" t="n">
        <v>1</v>
      </c>
      <c r="J7" s="8" t="n">
        <f aca="false">C7*D7*E7</f>
        <v>4</v>
      </c>
      <c r="K7" s="8" t="n">
        <f aca="false">IF(H7=0,0,J7/H7)</f>
        <v>0.02</v>
      </c>
      <c r="L7" s="8" t="n">
        <f aca="false">J7*Parametry!$B$17</f>
        <v>8</v>
      </c>
      <c r="M7" s="8" t="n">
        <f aca="false">L7*Parametry!$B$18</f>
        <v>11.2</v>
      </c>
      <c r="N7" s="8" t="n">
        <f aca="false">M7*IF(F7&gt;0,Parametry!$B$19,1)</f>
        <v>16.8</v>
      </c>
      <c r="O7" s="8" t="n">
        <f aca="false">N7*Parametry!$B$20</f>
        <v>33.6</v>
      </c>
      <c r="P7" s="4" t="n">
        <f aca="false">H7*(1+0.8+1.2+1.8+2.5)</f>
        <v>1460</v>
      </c>
      <c r="Q7" s="4" t="s">
        <v>107</v>
      </c>
    </row>
    <row r="8" customFormat="false" ht="15" hidden="false" customHeight="false" outlineLevel="0" collapsed="false">
      <c r="A8" s="4" t="s">
        <v>108</v>
      </c>
      <c r="B8" s="4" t="s">
        <v>98</v>
      </c>
      <c r="C8" s="7" t="n">
        <v>20</v>
      </c>
      <c r="D8" s="7" t="n">
        <v>0.3</v>
      </c>
      <c r="E8" s="7" t="n">
        <v>1</v>
      </c>
      <c r="F8" s="7" t="n">
        <v>0</v>
      </c>
      <c r="G8" s="7" t="n">
        <v>300</v>
      </c>
      <c r="H8" s="7" t="n">
        <v>180</v>
      </c>
      <c r="I8" s="7" t="n">
        <v>4</v>
      </c>
      <c r="J8" s="8" t="n">
        <f aca="false">C8*D8*E8</f>
        <v>6</v>
      </c>
      <c r="K8" s="8" t="n">
        <f aca="false">IF(H8=0,0,J8/H8)</f>
        <v>0.0333333333333333</v>
      </c>
      <c r="L8" s="8" t="n">
        <f aca="false">J8*Parametry!$B$17</f>
        <v>12</v>
      </c>
      <c r="M8" s="8" t="n">
        <f aca="false">L8*Parametry!$B$18</f>
        <v>16.8</v>
      </c>
      <c r="N8" s="8" t="n">
        <f aca="false">M8*IF(F8&gt;0,Parametry!$B$19,1)</f>
        <v>16.8</v>
      </c>
      <c r="O8" s="8" t="n">
        <f aca="false">N8*Parametry!$B$20</f>
        <v>33.6</v>
      </c>
      <c r="P8" s="4" t="n">
        <f aca="false">H8*(1+0.8+1.2+1.8+2.5)</f>
        <v>1314</v>
      </c>
      <c r="Q8" s="4" t="s">
        <v>109</v>
      </c>
    </row>
    <row r="9" customFormat="false" ht="15" hidden="false" customHeight="false" outlineLevel="0" collapsed="false">
      <c r="A9" s="4" t="s">
        <v>110</v>
      </c>
      <c r="B9" s="4" t="s">
        <v>111</v>
      </c>
      <c r="C9" s="7" t="n">
        <v>90</v>
      </c>
      <c r="D9" s="7" t="n">
        <v>0.15</v>
      </c>
      <c r="E9" s="7" t="n">
        <v>1</v>
      </c>
      <c r="F9" s="7" t="n">
        <v>0</v>
      </c>
      <c r="G9" s="7" t="n">
        <v>500</v>
      </c>
      <c r="H9" s="7" t="n">
        <v>400</v>
      </c>
      <c r="I9" s="7" t="n">
        <v>0</v>
      </c>
      <c r="J9" s="8" t="n">
        <f aca="false">C9*D9*E9</f>
        <v>13.5</v>
      </c>
      <c r="K9" s="8" t="n">
        <f aca="false">IF(H9=0,0,J9/H9)</f>
        <v>0.03375</v>
      </c>
      <c r="L9" s="8" t="n">
        <f aca="false">J9*Parametry!$B$17</f>
        <v>27</v>
      </c>
      <c r="M9" s="8" t="n">
        <f aca="false">L9*Parametry!$B$18</f>
        <v>37.8</v>
      </c>
      <c r="N9" s="8" t="n">
        <f aca="false">M9*IF(F9&gt;0,Parametry!$B$19,1)</f>
        <v>37.8</v>
      </c>
      <c r="O9" s="8" t="n">
        <f aca="false">N9*Parametry!$B$20</f>
        <v>75.6</v>
      </c>
      <c r="P9" s="4" t="n">
        <f aca="false">H9*(1+0.8+1.2+1.8+2.5)</f>
        <v>2920</v>
      </c>
      <c r="Q9" s="4" t="s">
        <v>112</v>
      </c>
    </row>
    <row r="10" customFormat="false" ht="15" hidden="false" customHeight="false" outlineLevel="0" collapsed="false">
      <c r="A10" s="4" t="s">
        <v>113</v>
      </c>
      <c r="B10" s="4" t="s">
        <v>100</v>
      </c>
      <c r="C10" s="7" t="n">
        <v>40</v>
      </c>
      <c r="D10" s="7" t="n">
        <v>0.5</v>
      </c>
      <c r="E10" s="7" t="n">
        <v>1</v>
      </c>
      <c r="F10" s="7" t="n">
        <v>50</v>
      </c>
      <c r="G10" s="7" t="n">
        <v>500</v>
      </c>
      <c r="H10" s="7" t="n">
        <v>220</v>
      </c>
      <c r="I10" s="7" t="n">
        <v>3</v>
      </c>
      <c r="J10" s="8" t="n">
        <f aca="false">C10*D10*E10</f>
        <v>20</v>
      </c>
      <c r="K10" s="8" t="n">
        <f aca="false">IF(H10=0,0,J10/H10)</f>
        <v>0.0909090909090909</v>
      </c>
      <c r="L10" s="8" t="n">
        <f aca="false">J10*Parametry!$B$17</f>
        <v>40</v>
      </c>
      <c r="M10" s="8" t="n">
        <f aca="false">L10*Parametry!$B$18</f>
        <v>56</v>
      </c>
      <c r="N10" s="8" t="n">
        <f aca="false">M10*IF(F10&gt;0,Parametry!$B$19,1)</f>
        <v>84</v>
      </c>
      <c r="O10" s="8" t="n">
        <f aca="false">N10*Parametry!$B$20</f>
        <v>168</v>
      </c>
      <c r="P10" s="4" t="n">
        <f aca="false">H10*(1+0.8+1.2+1.8+2.5)</f>
        <v>1606</v>
      </c>
      <c r="Q10" s="4"/>
    </row>
    <row r="11" customFormat="false" ht="15" hidden="false" customHeight="false" outlineLevel="0" collapsed="false">
      <c r="A11" s="4" t="s">
        <v>114</v>
      </c>
      <c r="B11" s="4" t="s">
        <v>115</v>
      </c>
      <c r="C11" s="7" t="n">
        <v>120</v>
      </c>
      <c r="D11" s="7" t="n">
        <v>0.2</v>
      </c>
      <c r="E11" s="7" t="n">
        <v>1</v>
      </c>
      <c r="F11" s="7" t="n">
        <v>40</v>
      </c>
      <c r="G11" s="7" t="n">
        <v>550</v>
      </c>
      <c r="H11" s="7" t="n">
        <v>350</v>
      </c>
      <c r="I11" s="7" t="n">
        <v>6</v>
      </c>
      <c r="J11" s="8" t="n">
        <f aca="false">C11*D11*E11</f>
        <v>24</v>
      </c>
      <c r="K11" s="8" t="n">
        <f aca="false">IF(H11=0,0,J11/H11)</f>
        <v>0.0685714285714286</v>
      </c>
      <c r="L11" s="8" t="n">
        <f aca="false">J11*Parametry!$B$17</f>
        <v>48</v>
      </c>
      <c r="M11" s="8" t="n">
        <f aca="false">L11*Parametry!$B$18</f>
        <v>67.2</v>
      </c>
      <c r="N11" s="8" t="n">
        <f aca="false">M11*IF(F11&gt;0,Parametry!$B$19,1)</f>
        <v>100.8</v>
      </c>
      <c r="O11" s="8" t="n">
        <f aca="false">N11*Parametry!$B$20</f>
        <v>201.6</v>
      </c>
      <c r="P11" s="4" t="n">
        <f aca="false">H11*(1+0.8+1.2+1.8+2.5)</f>
        <v>2555</v>
      </c>
      <c r="Q11" s="4" t="s">
        <v>116</v>
      </c>
    </row>
    <row r="12" customFormat="false" ht="15" hidden="false" customHeight="false" outlineLevel="0" collapsed="false">
      <c r="A12" s="4" t="s">
        <v>117</v>
      </c>
      <c r="B12" s="4" t="s">
        <v>100</v>
      </c>
      <c r="C12" s="7" t="n">
        <v>25</v>
      </c>
      <c r="D12" s="7" t="n">
        <v>0.7</v>
      </c>
      <c r="E12" s="7" t="n">
        <v>1</v>
      </c>
      <c r="F12" s="7" t="n">
        <v>35</v>
      </c>
      <c r="G12" s="7" t="n">
        <v>150</v>
      </c>
      <c r="H12" s="7" t="n">
        <v>80</v>
      </c>
      <c r="I12" s="7" t="n">
        <v>0</v>
      </c>
      <c r="J12" s="8" t="n">
        <f aca="false">C12*D12*E12</f>
        <v>17.5</v>
      </c>
      <c r="K12" s="8" t="n">
        <f aca="false">IF(H12=0,0,J12/H12)</f>
        <v>0.21875</v>
      </c>
      <c r="L12" s="8" t="n">
        <f aca="false">J12*Parametry!$B$17</f>
        <v>35</v>
      </c>
      <c r="M12" s="8" t="n">
        <f aca="false">L12*Parametry!$B$18</f>
        <v>49</v>
      </c>
      <c r="N12" s="8" t="n">
        <f aca="false">M12*IF(F12&gt;0,Parametry!$B$19,1)</f>
        <v>73.5</v>
      </c>
      <c r="O12" s="8" t="n">
        <f aca="false">N12*Parametry!$B$20</f>
        <v>147</v>
      </c>
      <c r="P12" s="4" t="n">
        <f aca="false">H12*(1+0.8+1.2+1.8+2.5)</f>
        <v>584</v>
      </c>
      <c r="Q12" s="4"/>
    </row>
    <row r="13" customFormat="false" ht="15" hidden="false" customHeight="false" outlineLevel="0" collapsed="false">
      <c r="A13" s="4" t="s">
        <v>118</v>
      </c>
      <c r="B13" s="4" t="s">
        <v>119</v>
      </c>
      <c r="C13" s="7" t="n">
        <v>15</v>
      </c>
      <c r="D13" s="7" t="n">
        <v>3</v>
      </c>
      <c r="E13" s="7" t="n">
        <v>1</v>
      </c>
      <c r="F13" s="7" t="n">
        <v>25</v>
      </c>
      <c r="G13" s="7" t="n">
        <v>450</v>
      </c>
      <c r="H13" s="7" t="n">
        <v>60</v>
      </c>
      <c r="I13" s="7" t="n">
        <v>0</v>
      </c>
      <c r="J13" s="8" t="n">
        <f aca="false">C13*D13*E13</f>
        <v>45</v>
      </c>
      <c r="K13" s="8" t="n">
        <f aca="false">IF(H13=0,0,J13/H13)</f>
        <v>0.75</v>
      </c>
      <c r="L13" s="8" t="n">
        <f aca="false">J13*Parametry!$B$17</f>
        <v>90</v>
      </c>
      <c r="M13" s="8" t="n">
        <f aca="false">L13*Parametry!$B$18</f>
        <v>126</v>
      </c>
      <c r="N13" s="8" t="n">
        <f aca="false">M13*IF(F13&gt;0,Parametry!$B$19,1)</f>
        <v>189</v>
      </c>
      <c r="O13" s="8" t="n">
        <f aca="false">N13*Parametry!$B$20</f>
        <v>378</v>
      </c>
      <c r="P13" s="4" t="n">
        <f aca="false">H13*(1+0.8+1.2+1.8+2.5)</f>
        <v>438</v>
      </c>
      <c r="Q13" s="4" t="s">
        <v>120</v>
      </c>
    </row>
    <row r="14" customFormat="false" ht="15" hidden="false" customHeight="false" outlineLevel="0" collapsed="false">
      <c r="A14" s="4" t="s">
        <v>121</v>
      </c>
      <c r="B14" s="4" t="s">
        <v>122</v>
      </c>
      <c r="C14" s="7" t="n">
        <v>80</v>
      </c>
      <c r="D14" s="7" t="n">
        <v>0.4</v>
      </c>
      <c r="E14" s="7" t="n">
        <v>1</v>
      </c>
      <c r="F14" s="7" t="n">
        <v>60</v>
      </c>
      <c r="G14" s="7" t="n">
        <v>500</v>
      </c>
      <c r="H14" s="7" t="n">
        <v>450</v>
      </c>
      <c r="I14" s="7" t="n">
        <v>8</v>
      </c>
      <c r="J14" s="8" t="n">
        <f aca="false">C14*D14*E14</f>
        <v>32</v>
      </c>
      <c r="K14" s="8" t="n">
        <f aca="false">IF(H14=0,0,J14/H14)</f>
        <v>0.0711111111111111</v>
      </c>
      <c r="L14" s="8" t="n">
        <f aca="false">J14*Parametry!$B$17</f>
        <v>64</v>
      </c>
      <c r="M14" s="8" t="n">
        <f aca="false">L14*Parametry!$B$18</f>
        <v>89.6</v>
      </c>
      <c r="N14" s="8" t="n">
        <f aca="false">M14*IF(F14&gt;0,Parametry!$B$19,1)</f>
        <v>134.4</v>
      </c>
      <c r="O14" s="8" t="n">
        <f aca="false">N14*Parametry!$B$20</f>
        <v>268.8</v>
      </c>
      <c r="P14" s="4" t="n">
        <f aca="false">H14*(1+0.8+1.2+1.8+2.5)</f>
        <v>3285</v>
      </c>
      <c r="Q14" s="4"/>
    </row>
    <row r="15" customFormat="false" ht="15" hidden="false" customHeight="false" outlineLevel="0" collapsed="false">
      <c r="A15" s="4" t="s">
        <v>123</v>
      </c>
      <c r="B15" s="4" t="s">
        <v>100</v>
      </c>
      <c r="C15" s="7" t="n">
        <v>400</v>
      </c>
      <c r="D15" s="7" t="n">
        <v>0.08</v>
      </c>
      <c r="E15" s="7" t="n">
        <v>1</v>
      </c>
      <c r="F15" s="7" t="n">
        <v>80</v>
      </c>
      <c r="G15" s="7" t="n">
        <v>700</v>
      </c>
      <c r="H15" s="7" t="n">
        <v>900</v>
      </c>
      <c r="I15" s="7" t="n">
        <v>12</v>
      </c>
      <c r="J15" s="8" t="n">
        <f aca="false">C15*D15*E15</f>
        <v>32</v>
      </c>
      <c r="K15" s="8" t="n">
        <f aca="false">IF(H15=0,0,J15/H15)</f>
        <v>0.0355555555555556</v>
      </c>
      <c r="L15" s="8" t="n">
        <f aca="false">J15*Parametry!$B$17</f>
        <v>64</v>
      </c>
      <c r="M15" s="8" t="n">
        <f aca="false">L15*Parametry!$B$18</f>
        <v>89.6</v>
      </c>
      <c r="N15" s="8" t="n">
        <f aca="false">M15*IF(F15&gt;0,Parametry!$B$19,1)</f>
        <v>134.4</v>
      </c>
      <c r="O15" s="8" t="n">
        <f aca="false">N15*Parametry!$B$20</f>
        <v>268.8</v>
      </c>
      <c r="P15" s="4" t="n">
        <f aca="false">H15*(1+0.8+1.2+1.8+2.5)</f>
        <v>6570</v>
      </c>
      <c r="Q15" s="4"/>
    </row>
    <row r="16" customFormat="false" ht="15" hidden="false" customHeight="false" outlineLevel="0" collapsed="false">
      <c r="A16" s="4" t="s">
        <v>124</v>
      </c>
      <c r="B16" s="4" t="s">
        <v>125</v>
      </c>
      <c r="C16" s="7" t="n">
        <v>20</v>
      </c>
      <c r="D16" s="7" t="n">
        <v>1</v>
      </c>
      <c r="E16" s="7" t="n">
        <v>1</v>
      </c>
      <c r="F16" s="7" t="n">
        <v>30</v>
      </c>
      <c r="G16" s="7" t="n">
        <v>0</v>
      </c>
      <c r="H16" s="7" t="n">
        <v>120</v>
      </c>
      <c r="I16" s="7" t="n">
        <v>0</v>
      </c>
      <c r="J16" s="8" t="n">
        <f aca="false">C16*D16*E16</f>
        <v>20</v>
      </c>
      <c r="K16" s="8" t="n">
        <f aca="false">IF(H16=0,0,J16/H16)</f>
        <v>0.166666666666667</v>
      </c>
      <c r="L16" s="8" t="n">
        <f aca="false">J16*Parametry!$B$17</f>
        <v>40</v>
      </c>
      <c r="M16" s="8" t="n">
        <f aca="false">L16*Parametry!$B$18</f>
        <v>56</v>
      </c>
      <c r="N16" s="8" t="n">
        <f aca="false">M16*IF(F16&gt;0,Parametry!$B$19,1)</f>
        <v>84</v>
      </c>
      <c r="O16" s="8" t="n">
        <f aca="false">N16*Parametry!$B$20</f>
        <v>168</v>
      </c>
      <c r="P16" s="4" t="n">
        <f aca="false">H16*(1+0.8+1.2+1.8+2.5)</f>
        <v>876</v>
      </c>
      <c r="Q16" s="4" t="s">
        <v>126</v>
      </c>
    </row>
    <row r="17" customFormat="false" ht="15" hidden="false" customHeight="false" outlineLevel="0" collapsed="false">
      <c r="A17" s="4" t="s">
        <v>127</v>
      </c>
      <c r="B17" s="4" t="s">
        <v>125</v>
      </c>
      <c r="C17" s="7" t="n">
        <v>60</v>
      </c>
      <c r="D17" s="7" t="n">
        <v>0.5</v>
      </c>
      <c r="E17" s="7" t="n">
        <v>1</v>
      </c>
      <c r="F17" s="7" t="n">
        <v>45</v>
      </c>
      <c r="G17" s="7" t="n">
        <v>0</v>
      </c>
      <c r="H17" s="7" t="n">
        <v>300</v>
      </c>
      <c r="I17" s="7" t="n">
        <v>0</v>
      </c>
      <c r="J17" s="8" t="n">
        <f aca="false">C17*D17*E17</f>
        <v>30</v>
      </c>
      <c r="K17" s="8" t="n">
        <f aca="false">IF(H17=0,0,J17/H17)</f>
        <v>0.1</v>
      </c>
      <c r="L17" s="8" t="n">
        <f aca="false">J17*Parametry!$B$17</f>
        <v>60</v>
      </c>
      <c r="M17" s="8" t="n">
        <f aca="false">L17*Parametry!$B$18</f>
        <v>84</v>
      </c>
      <c r="N17" s="8" t="n">
        <f aca="false">M17*IF(F17&gt;0,Parametry!$B$19,1)</f>
        <v>126</v>
      </c>
      <c r="O17" s="8" t="n">
        <f aca="false">N17*Parametry!$B$20</f>
        <v>252</v>
      </c>
      <c r="P17" s="4" t="n">
        <f aca="false">H17*(1+0.8+1.2+1.8+2.5)</f>
        <v>2190</v>
      </c>
      <c r="Q17" s="4" t="s">
        <v>128</v>
      </c>
    </row>
    <row r="18" customFormat="false" ht="15" hidden="false" customHeight="false" outlineLevel="0" collapsed="false">
      <c r="A18" s="4" t="s">
        <v>129</v>
      </c>
      <c r="B18" s="4" t="s">
        <v>125</v>
      </c>
      <c r="C18" s="7" t="n">
        <v>150</v>
      </c>
      <c r="D18" s="7" t="n">
        <v>0.2</v>
      </c>
      <c r="E18" s="7" t="n">
        <v>1</v>
      </c>
      <c r="F18" s="7" t="n">
        <v>70</v>
      </c>
      <c r="G18" s="7" t="n">
        <v>0</v>
      </c>
      <c r="H18" s="7" t="n">
        <v>500</v>
      </c>
      <c r="I18" s="7" t="n">
        <v>0</v>
      </c>
      <c r="J18" s="8" t="n">
        <f aca="false">C18*D18*E18</f>
        <v>30</v>
      </c>
      <c r="K18" s="8" t="n">
        <f aca="false">IF(H18=0,0,J18/H18)</f>
        <v>0.06</v>
      </c>
      <c r="L18" s="8" t="n">
        <f aca="false">J18*Parametry!$B$17</f>
        <v>60</v>
      </c>
      <c r="M18" s="8" t="n">
        <f aca="false">L18*Parametry!$B$18</f>
        <v>84</v>
      </c>
      <c r="N18" s="8" t="n">
        <f aca="false">M18*IF(F18&gt;0,Parametry!$B$19,1)</f>
        <v>126</v>
      </c>
      <c r="O18" s="8" t="n">
        <f aca="false">N18*Parametry!$B$20</f>
        <v>252</v>
      </c>
      <c r="P18" s="4" t="n">
        <f aca="false">H18*(1+0.8+1.2+1.8+2.5)</f>
        <v>3650</v>
      </c>
      <c r="Q18" s="4" t="s">
        <v>130</v>
      </c>
    </row>
    <row r="19" customFormat="false" ht="15" hidden="false" customHeight="false" outlineLevel="0" collapsed="false">
      <c r="A19" s="4" t="s">
        <v>131</v>
      </c>
      <c r="B19" s="4" t="s">
        <v>98</v>
      </c>
      <c r="C19" s="7" t="n">
        <v>3</v>
      </c>
      <c r="D19" s="7" t="n">
        <v>12</v>
      </c>
      <c r="E19" s="7" t="n">
        <v>1</v>
      </c>
      <c r="F19" s="7" t="n">
        <v>0</v>
      </c>
      <c r="G19" s="7" t="n">
        <v>280</v>
      </c>
      <c r="H19" s="7" t="n">
        <v>280</v>
      </c>
      <c r="I19" s="7" t="n">
        <v>2</v>
      </c>
      <c r="J19" s="8" t="n">
        <f aca="false">C19*D19*E19</f>
        <v>36</v>
      </c>
      <c r="K19" s="8" t="n">
        <f aca="false">IF(H19=0,0,J19/H19)</f>
        <v>0.128571428571429</v>
      </c>
      <c r="L19" s="8" t="n">
        <f aca="false">J19*Parametry!$B$17</f>
        <v>72</v>
      </c>
      <c r="M19" s="8" t="n">
        <f aca="false">L19*Parametry!$B$18</f>
        <v>100.8</v>
      </c>
      <c r="N19" s="8" t="n">
        <f aca="false">M19*IF(F19&gt;0,Parametry!$B$19,1)</f>
        <v>100.8</v>
      </c>
      <c r="O19" s="8" t="n">
        <f aca="false">N19*Parametry!$B$20</f>
        <v>201.6</v>
      </c>
      <c r="P19" s="4" t="n">
        <f aca="false">H19*(1+0.8+1.2+1.8+2.5)</f>
        <v>2044</v>
      </c>
      <c r="Q19" s="4" t="s">
        <v>132</v>
      </c>
    </row>
    <row r="20" customFormat="false" ht="15" hidden="false" customHeight="false" outlineLevel="0" collapsed="false">
      <c r="A20" s="4" t="s">
        <v>133</v>
      </c>
      <c r="B20" s="4" t="s">
        <v>134</v>
      </c>
      <c r="C20" s="7" t="n">
        <v>3</v>
      </c>
      <c r="D20" s="7" t="n">
        <v>1</v>
      </c>
      <c r="E20" s="7" t="n">
        <v>1</v>
      </c>
      <c r="F20" s="7" t="n">
        <v>30</v>
      </c>
      <c r="G20" s="7" t="n">
        <v>200</v>
      </c>
      <c r="H20" s="7" t="n">
        <v>180</v>
      </c>
      <c r="I20" s="7" t="n">
        <v>1</v>
      </c>
      <c r="J20" s="8" t="n">
        <f aca="false">C20*D20*E20</f>
        <v>3</v>
      </c>
      <c r="K20" s="8" t="n">
        <f aca="false">IF(H20=0,0,J20/H20)</f>
        <v>0.0166666666666667</v>
      </c>
      <c r="L20" s="8" t="n">
        <f aca="false">J20*Parametry!$B$17</f>
        <v>6</v>
      </c>
      <c r="M20" s="8" t="n">
        <f aca="false">L20*Parametry!$B$18</f>
        <v>8.4</v>
      </c>
      <c r="N20" s="8" t="n">
        <f aca="false">M20*IF(F20&gt;0,Parametry!$B$19,1)</f>
        <v>12.6</v>
      </c>
      <c r="O20" s="8" t="n">
        <f aca="false">N20*Parametry!$B$20</f>
        <v>25.2</v>
      </c>
      <c r="P20" s="4" t="n">
        <f aca="false">H20*(1+0.8+1.2+1.8+2.5)</f>
        <v>1314</v>
      </c>
      <c r="Q20" s="4" t="s">
        <v>135</v>
      </c>
    </row>
    <row r="21" customFormat="false" ht="15" hidden="false" customHeight="false" outlineLevel="0" collapsed="false">
      <c r="A21" s="4" t="s">
        <v>136</v>
      </c>
      <c r="B21" s="4" t="s">
        <v>100</v>
      </c>
      <c r="C21" s="7" t="n">
        <v>8</v>
      </c>
      <c r="D21" s="7" t="n">
        <v>0.4</v>
      </c>
      <c r="E21" s="7" t="n">
        <v>1</v>
      </c>
      <c r="F21" s="7" t="n">
        <v>60</v>
      </c>
      <c r="G21" s="7" t="n">
        <v>350</v>
      </c>
      <c r="H21" s="7" t="n">
        <v>220</v>
      </c>
      <c r="I21" s="7" t="n">
        <v>1</v>
      </c>
      <c r="J21" s="8" t="n">
        <f aca="false">C21*D21*E21</f>
        <v>3.2</v>
      </c>
      <c r="K21" s="8" t="n">
        <f aca="false">IF(H21=0,0,J21/H21)</f>
        <v>0.0145454545454545</v>
      </c>
      <c r="L21" s="8" t="n">
        <f aca="false">J21*Parametry!$B$17</f>
        <v>6.4</v>
      </c>
      <c r="M21" s="8" t="n">
        <f aca="false">L21*Parametry!$B$18</f>
        <v>8.96</v>
      </c>
      <c r="N21" s="8" t="n">
        <f aca="false">M21*IF(F21&gt;0,Parametry!$B$19,1)</f>
        <v>13.44</v>
      </c>
      <c r="O21" s="8" t="n">
        <f aca="false">N21*Parametry!$B$20</f>
        <v>26.88</v>
      </c>
      <c r="P21" s="4" t="n">
        <f aca="false">H21*(1+0.8+1.2+1.8+2.5)</f>
        <v>1606</v>
      </c>
      <c r="Q21" s="4" t="s">
        <v>137</v>
      </c>
    </row>
    <row r="22" customFormat="false" ht="15" hidden="false" customHeight="false" outlineLevel="0" collapsed="false">
      <c r="A22" s="4" t="s">
        <v>138</v>
      </c>
      <c r="B22" s="4" t="s">
        <v>100</v>
      </c>
      <c r="C22" s="7" t="n">
        <v>6</v>
      </c>
      <c r="D22" s="7" t="n">
        <v>0.8</v>
      </c>
      <c r="E22" s="7" t="n">
        <v>6</v>
      </c>
      <c r="F22" s="7" t="n">
        <v>20</v>
      </c>
      <c r="G22" s="7" t="n">
        <v>400</v>
      </c>
      <c r="H22" s="7" t="n">
        <v>150</v>
      </c>
      <c r="I22" s="7" t="n">
        <v>2</v>
      </c>
      <c r="J22" s="8" t="n">
        <f aca="false">C22*D22*E22</f>
        <v>28.8</v>
      </c>
      <c r="K22" s="8" t="n">
        <f aca="false">IF(H22=0,0,J22/H22)</f>
        <v>0.192</v>
      </c>
      <c r="L22" s="8" t="n">
        <f aca="false">J22*Parametry!$B$17</f>
        <v>57.6</v>
      </c>
      <c r="M22" s="8" t="n">
        <f aca="false">L22*Parametry!$B$18</f>
        <v>80.64</v>
      </c>
      <c r="N22" s="8" t="n">
        <f aca="false">M22*IF(F22&gt;0,Parametry!$B$19,1)</f>
        <v>120.96</v>
      </c>
      <c r="O22" s="8" t="n">
        <f aca="false">N22*Parametry!$B$20</f>
        <v>241.92</v>
      </c>
      <c r="P22" s="4" t="n">
        <f aca="false">H22*(1+0.8+1.2+1.8+2.5)</f>
        <v>1095</v>
      </c>
      <c r="Q22" s="4" t="s">
        <v>139</v>
      </c>
    </row>
    <row r="23" customFormat="false" ht="15" hidden="false" customHeight="false" outlineLevel="0" collapsed="false">
      <c r="A23" s="4" t="s">
        <v>140</v>
      </c>
      <c r="B23" s="4" t="s">
        <v>98</v>
      </c>
      <c r="C23" s="7" t="n">
        <v>20</v>
      </c>
      <c r="D23" s="7" t="n">
        <v>0.8</v>
      </c>
      <c r="E23" s="7" t="n">
        <v>1</v>
      </c>
      <c r="F23" s="7" t="n">
        <v>0</v>
      </c>
      <c r="G23" s="7" t="n">
        <v>350</v>
      </c>
      <c r="H23" s="7" t="n">
        <v>200</v>
      </c>
      <c r="I23" s="7" t="n">
        <v>1</v>
      </c>
      <c r="J23" s="8" t="n">
        <f aca="false">C23*D23*E23</f>
        <v>16</v>
      </c>
      <c r="K23" s="8" t="n">
        <f aca="false">IF(H23=0,0,J23/H23)</f>
        <v>0.08</v>
      </c>
      <c r="L23" s="8" t="n">
        <f aca="false">J23*Parametry!$B$17</f>
        <v>32</v>
      </c>
      <c r="M23" s="8" t="n">
        <f aca="false">L23*Parametry!$B$18</f>
        <v>44.8</v>
      </c>
      <c r="N23" s="8" t="n">
        <f aca="false">M23*IF(F23&gt;0,Parametry!$B$19,1)</f>
        <v>44.8</v>
      </c>
      <c r="O23" s="8" t="n">
        <f aca="false">N23*Parametry!$B$20</f>
        <v>89.6</v>
      </c>
      <c r="P23" s="4" t="n">
        <f aca="false">H23*(1+0.8+1.2+1.8+2.5)</f>
        <v>1460</v>
      </c>
      <c r="Q23" s="4" t="s">
        <v>141</v>
      </c>
    </row>
    <row r="24" customFormat="false" ht="15" hidden="false" customHeight="false" outlineLevel="0" collapsed="false">
      <c r="A24" s="4" t="s">
        <v>142</v>
      </c>
      <c r="B24" s="4" t="s">
        <v>98</v>
      </c>
      <c r="C24" s="7" t="n">
        <v>18</v>
      </c>
      <c r="D24" s="7" t="n">
        <v>0.7</v>
      </c>
      <c r="E24" s="7" t="n">
        <v>1</v>
      </c>
      <c r="F24" s="7" t="n">
        <v>0</v>
      </c>
      <c r="G24" s="7" t="n">
        <v>300</v>
      </c>
      <c r="H24" s="7" t="n">
        <v>160</v>
      </c>
      <c r="I24" s="7" t="n">
        <v>0</v>
      </c>
      <c r="J24" s="8" t="n">
        <f aca="false">C24*D24*E24</f>
        <v>12.6</v>
      </c>
      <c r="K24" s="8" t="n">
        <f aca="false">IF(H24=0,0,J24/H24)</f>
        <v>0.07875</v>
      </c>
      <c r="L24" s="8" t="n">
        <f aca="false">J24*Parametry!$B$17</f>
        <v>25.2</v>
      </c>
      <c r="M24" s="8" t="n">
        <f aca="false">L24*Parametry!$B$18</f>
        <v>35.28</v>
      </c>
      <c r="N24" s="8" t="n">
        <f aca="false">M24*IF(F24&gt;0,Parametry!$B$19,1)</f>
        <v>35.28</v>
      </c>
      <c r="O24" s="8" t="n">
        <f aca="false">N24*Parametry!$B$20</f>
        <v>70.56</v>
      </c>
      <c r="P24" s="4" t="n">
        <f aca="false">H24*(1+0.8+1.2+1.8+2.5)</f>
        <v>1168</v>
      </c>
      <c r="Q24" s="4" t="s">
        <v>143</v>
      </c>
    </row>
    <row r="25" customFormat="false" ht="15" hidden="false" customHeight="false" outlineLevel="0" collapsed="false">
      <c r="A25" s="4" t="s">
        <v>144</v>
      </c>
      <c r="B25" s="4" t="s">
        <v>145</v>
      </c>
      <c r="C25" s="7" t="n">
        <v>60</v>
      </c>
      <c r="D25" s="7" t="n">
        <v>0.1</v>
      </c>
      <c r="E25" s="7" t="n">
        <v>1</v>
      </c>
      <c r="F25" s="7" t="n">
        <v>0</v>
      </c>
      <c r="G25" s="7" t="n">
        <v>120</v>
      </c>
      <c r="H25" s="7" t="n">
        <v>140</v>
      </c>
      <c r="I25" s="7" t="n">
        <v>0</v>
      </c>
      <c r="J25" s="8" t="n">
        <f aca="false">C25*D25*E25</f>
        <v>6</v>
      </c>
      <c r="K25" s="8" t="n">
        <f aca="false">IF(H25=0,0,J25/H25)</f>
        <v>0.0428571428571429</v>
      </c>
      <c r="L25" s="8" t="n">
        <f aca="false">J25*Parametry!$B$17</f>
        <v>12</v>
      </c>
      <c r="M25" s="8" t="n">
        <f aca="false">L25*Parametry!$B$18</f>
        <v>16.8</v>
      </c>
      <c r="N25" s="8" t="n">
        <f aca="false">M25*IF(F25&gt;0,Parametry!$B$19,1)</f>
        <v>16.8</v>
      </c>
      <c r="O25" s="8" t="n">
        <f aca="false">N25*Parametry!$B$20</f>
        <v>33.6</v>
      </c>
      <c r="P25" s="4" t="n">
        <f aca="false">H25*(1+0.8+1.2+1.8+2.5)</f>
        <v>1022</v>
      </c>
      <c r="Q25" s="4" t="s">
        <v>146</v>
      </c>
    </row>
    <row r="26" customFormat="false" ht="15" hidden="false" customHeight="false" outlineLevel="0" collapsed="false">
      <c r="A26" s="4" t="s">
        <v>147</v>
      </c>
      <c r="B26" s="4" t="s">
        <v>100</v>
      </c>
      <c r="C26" s="7" t="n">
        <v>200</v>
      </c>
      <c r="D26" s="7" t="n">
        <v>0.1</v>
      </c>
      <c r="E26" s="7" t="n">
        <v>1</v>
      </c>
      <c r="F26" s="7" t="n">
        <v>90</v>
      </c>
      <c r="G26" s="7" t="n">
        <v>450</v>
      </c>
      <c r="H26" s="7" t="n">
        <v>260</v>
      </c>
      <c r="I26" s="7" t="n">
        <v>5</v>
      </c>
      <c r="J26" s="8" t="n">
        <f aca="false">C26*D26*E26</f>
        <v>20</v>
      </c>
      <c r="K26" s="8" t="n">
        <f aca="false">IF(H26=0,0,J26/H26)</f>
        <v>0.0769230769230769</v>
      </c>
      <c r="L26" s="8" t="n">
        <f aca="false">J26*Parametry!$B$17</f>
        <v>40</v>
      </c>
      <c r="M26" s="8" t="n">
        <f aca="false">L26*Parametry!$B$18</f>
        <v>56</v>
      </c>
      <c r="N26" s="8" t="n">
        <f aca="false">M26*IF(F26&gt;0,Parametry!$B$19,1)</f>
        <v>84</v>
      </c>
      <c r="O26" s="8" t="n">
        <f aca="false">N26*Parametry!$B$20</f>
        <v>168</v>
      </c>
      <c r="P26" s="4" t="n">
        <f aca="false">H26*(1+0.8+1.2+1.8+2.5)</f>
        <v>1898</v>
      </c>
      <c r="Q26" s="4" t="s">
        <v>148</v>
      </c>
    </row>
    <row r="27" customFormat="false" ht="15" hidden="false" customHeight="false" outlineLevel="0" collapsed="false">
      <c r="A27" s="4" t="s">
        <v>149</v>
      </c>
      <c r="B27" s="4" t="s">
        <v>100</v>
      </c>
      <c r="C27" s="7" t="n">
        <v>0</v>
      </c>
      <c r="D27" s="7" t="n">
        <v>0.5</v>
      </c>
      <c r="E27" s="7" t="n">
        <v>1</v>
      </c>
      <c r="F27" s="7" t="n">
        <v>60</v>
      </c>
      <c r="G27" s="7" t="n">
        <v>500</v>
      </c>
      <c r="H27" s="7" t="n">
        <v>180</v>
      </c>
      <c r="I27" s="7" t="n">
        <v>3</v>
      </c>
      <c r="J27" s="8" t="n">
        <f aca="false">C27*D27*E27</f>
        <v>0</v>
      </c>
      <c r="K27" s="8" t="n">
        <f aca="false">IF(H27=0,0,J27/H27)</f>
        <v>0</v>
      </c>
      <c r="L27" s="8" t="n">
        <f aca="false">J27*Parametry!$B$17</f>
        <v>0</v>
      </c>
      <c r="M27" s="8" t="n">
        <f aca="false">L27*Parametry!$B$18</f>
        <v>0</v>
      </c>
      <c r="N27" s="8" t="n">
        <f aca="false">M27*IF(F27&gt;0,Parametry!$B$19,1)</f>
        <v>0</v>
      </c>
      <c r="O27" s="8" t="n">
        <f aca="false">N27*Parametry!$B$20</f>
        <v>0</v>
      </c>
      <c r="P27" s="4" t="n">
        <f aca="false">H27*(1+0.8+1.2+1.8+2.5)</f>
        <v>1314</v>
      </c>
      <c r="Q27" s="4" t="s">
        <v>150</v>
      </c>
    </row>
    <row r="28" customFormat="false" ht="15" hidden="false" customHeight="false" outlineLevel="0" collapsed="false">
      <c r="A28" s="4" t="s">
        <v>151</v>
      </c>
      <c r="B28" s="4" t="s">
        <v>152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100</v>
      </c>
      <c r="H28" s="7" t="n">
        <v>150</v>
      </c>
      <c r="I28" s="7" t="n">
        <v>0</v>
      </c>
      <c r="J28" s="8" t="n">
        <f aca="false">C28*D28*E28</f>
        <v>0</v>
      </c>
      <c r="K28" s="8" t="n">
        <f aca="false">IF(H28=0,0,J28/H28)</f>
        <v>0</v>
      </c>
      <c r="L28" s="8" t="n">
        <f aca="false">J28*Parametry!$B$17</f>
        <v>0</v>
      </c>
      <c r="M28" s="8" t="n">
        <f aca="false">L28*Parametry!$B$18</f>
        <v>0</v>
      </c>
      <c r="N28" s="8" t="n">
        <f aca="false">M28*IF(F28&gt;0,Parametry!$B$19,1)</f>
        <v>0</v>
      </c>
      <c r="O28" s="8" t="n">
        <f aca="false">N28*Parametry!$B$20</f>
        <v>0</v>
      </c>
      <c r="P28" s="4" t="n">
        <f aca="false">H28*(1+0.8+1.2+1.8+2.5)</f>
        <v>1095</v>
      </c>
      <c r="Q28" s="4" t="s">
        <v>153</v>
      </c>
    </row>
    <row r="29" customFormat="false" ht="15" hidden="false" customHeight="false" outlineLevel="0" collapsed="false">
      <c r="A29" s="4" t="s">
        <v>154</v>
      </c>
      <c r="B29" s="4" t="s">
        <v>152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200</v>
      </c>
      <c r="H29" s="7" t="n">
        <v>110</v>
      </c>
      <c r="I29" s="7" t="n">
        <v>0</v>
      </c>
      <c r="J29" s="8" t="n">
        <f aca="false">C29*D29*E29</f>
        <v>0</v>
      </c>
      <c r="K29" s="8" t="n">
        <f aca="false">IF(H29=0,0,J29/H29)</f>
        <v>0</v>
      </c>
      <c r="L29" s="8" t="n">
        <f aca="false">J29*Parametry!$B$17</f>
        <v>0</v>
      </c>
      <c r="M29" s="8" t="n">
        <f aca="false">L29*Parametry!$B$18</f>
        <v>0</v>
      </c>
      <c r="N29" s="8" t="n">
        <f aca="false">M29*IF(F29&gt;0,Parametry!$B$19,1)</f>
        <v>0</v>
      </c>
      <c r="O29" s="8" t="n">
        <f aca="false">N29*Parametry!$B$20</f>
        <v>0</v>
      </c>
      <c r="P29" s="4" t="n">
        <f aca="false">H29*(1+0.8+1.2+1.8+2.5)</f>
        <v>803</v>
      </c>
      <c r="Q29" s="4" t="s">
        <v>155</v>
      </c>
    </row>
    <row r="30" customFormat="false" ht="15" hidden="false" customHeight="false" outlineLevel="0" collapsed="false">
      <c r="A30" s="4" t="s">
        <v>156</v>
      </c>
      <c r="B30" s="4" t="s">
        <v>152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250</v>
      </c>
      <c r="H30" s="7" t="n">
        <v>200</v>
      </c>
      <c r="I30" s="7" t="n">
        <v>0</v>
      </c>
      <c r="J30" s="8" t="n">
        <f aca="false">C30*D30*E30</f>
        <v>0</v>
      </c>
      <c r="K30" s="8" t="n">
        <f aca="false">IF(H30=0,0,J30/H30)</f>
        <v>0</v>
      </c>
      <c r="L30" s="8" t="n">
        <f aca="false">J30*Parametry!$B$17</f>
        <v>0</v>
      </c>
      <c r="M30" s="8" t="n">
        <f aca="false">L30*Parametry!$B$18</f>
        <v>0</v>
      </c>
      <c r="N30" s="8" t="n">
        <f aca="false">M30*IF(F30&gt;0,Parametry!$B$19,1)</f>
        <v>0</v>
      </c>
      <c r="O30" s="8" t="n">
        <f aca="false">N30*Parametry!$B$20</f>
        <v>0</v>
      </c>
      <c r="P30" s="4" t="n">
        <f aca="false">H30*(1+0.8+1.2+1.8+2.5)</f>
        <v>1460</v>
      </c>
      <c r="Q30" s="4" t="s">
        <v>157</v>
      </c>
    </row>
    <row r="31" customFormat="false" ht="15" hidden="false" customHeight="false" outlineLevel="0" collapsed="false">
      <c r="A31" s="4" t="s">
        <v>158</v>
      </c>
      <c r="B31" s="4" t="s">
        <v>152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170</v>
      </c>
      <c r="I31" s="7" t="n">
        <v>0</v>
      </c>
      <c r="J31" s="8" t="n">
        <f aca="false">C31*D31*E31</f>
        <v>0</v>
      </c>
      <c r="K31" s="8" t="n">
        <f aca="false">IF(H31=0,0,J31/H31)</f>
        <v>0</v>
      </c>
      <c r="L31" s="8" t="n">
        <f aca="false">J31*Parametry!$B$17</f>
        <v>0</v>
      </c>
      <c r="M31" s="8" t="n">
        <f aca="false">L31*Parametry!$B$18</f>
        <v>0</v>
      </c>
      <c r="N31" s="8" t="n">
        <f aca="false">M31*IF(F31&gt;0,Parametry!$B$19,1)</f>
        <v>0</v>
      </c>
      <c r="O31" s="8" t="n">
        <f aca="false">N31*Parametry!$B$20</f>
        <v>0</v>
      </c>
      <c r="P31" s="4" t="n">
        <f aca="false">H31*(1+0.8+1.2+1.8+2.5)</f>
        <v>1241</v>
      </c>
      <c r="Q31" s="4" t="s">
        <v>159</v>
      </c>
    </row>
    <row r="32" customFormat="false" ht="15" hidden="false" customHeight="false" outlineLevel="0" collapsed="false">
      <c r="A32" s="4" t="s">
        <v>160</v>
      </c>
      <c r="B32" s="4" t="s">
        <v>152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300</v>
      </c>
      <c r="H32" s="7" t="n">
        <v>250</v>
      </c>
      <c r="I32" s="7" t="n">
        <v>0</v>
      </c>
      <c r="J32" s="8" t="n">
        <f aca="false">C32*D32*E32</f>
        <v>0</v>
      </c>
      <c r="K32" s="8" t="n">
        <f aca="false">IF(H32=0,0,J32/H32)</f>
        <v>0</v>
      </c>
      <c r="L32" s="8" t="n">
        <f aca="false">J32*Parametry!$B$17</f>
        <v>0</v>
      </c>
      <c r="M32" s="8" t="n">
        <f aca="false">L32*Parametry!$B$18</f>
        <v>0</v>
      </c>
      <c r="N32" s="8" t="n">
        <f aca="false">M32*IF(F32&gt;0,Parametry!$B$19,1)</f>
        <v>0</v>
      </c>
      <c r="O32" s="8" t="n">
        <f aca="false">N32*Parametry!$B$20</f>
        <v>0</v>
      </c>
      <c r="P32" s="4" t="n">
        <f aca="false">H32*(1+0.8+1.2+1.8+2.5)</f>
        <v>1825</v>
      </c>
      <c r="Q32" s="4" t="s">
        <v>161</v>
      </c>
    </row>
    <row r="33" customFormat="false" ht="15" hidden="false" customHeight="false" outlineLevel="0" collapsed="false">
      <c r="A33" s="4" t="s">
        <v>162</v>
      </c>
      <c r="B33" s="4" t="s">
        <v>152</v>
      </c>
      <c r="C33" s="7" t="n">
        <v>15</v>
      </c>
      <c r="D33" s="7" t="n">
        <v>0.25</v>
      </c>
      <c r="E33" s="7" t="n">
        <v>1</v>
      </c>
      <c r="F33" s="7" t="n">
        <v>0</v>
      </c>
      <c r="G33" s="7" t="n">
        <v>60</v>
      </c>
      <c r="H33" s="7" t="n">
        <v>200</v>
      </c>
      <c r="I33" s="7" t="n">
        <v>0</v>
      </c>
      <c r="J33" s="8" t="n">
        <f aca="false">C33*D33*E33</f>
        <v>3.75</v>
      </c>
      <c r="K33" s="8" t="n">
        <f aca="false">IF(H33=0,0,J33/H33)</f>
        <v>0.01875</v>
      </c>
      <c r="L33" s="8" t="n">
        <f aca="false">J33*Parametry!$B$17</f>
        <v>7.5</v>
      </c>
      <c r="M33" s="8" t="n">
        <f aca="false">L33*Parametry!$B$18</f>
        <v>10.5</v>
      </c>
      <c r="N33" s="8" t="n">
        <f aca="false">M33*IF(F33&gt;0,Parametry!$B$19,1)</f>
        <v>10.5</v>
      </c>
      <c r="O33" s="8" t="n">
        <f aca="false">N33*Parametry!$B$20</f>
        <v>21</v>
      </c>
      <c r="P33" s="4" t="n">
        <f aca="false">H33*(1+0.8+1.2+1.8+2.5)</f>
        <v>1460</v>
      </c>
      <c r="Q33" s="4" t="s">
        <v>163</v>
      </c>
    </row>
    <row r="34" customFormat="false" ht="15" hidden="false" customHeight="false" outlineLevel="0" collapsed="false">
      <c r="A34" s="4" t="s">
        <v>164</v>
      </c>
      <c r="B34" s="4" t="s">
        <v>100</v>
      </c>
      <c r="C34" s="7" t="n">
        <v>6</v>
      </c>
      <c r="D34" s="7" t="n">
        <v>0.6</v>
      </c>
      <c r="E34" s="7" t="n">
        <v>1</v>
      </c>
      <c r="F34" s="7" t="n">
        <v>0</v>
      </c>
      <c r="G34" s="7" t="n">
        <v>300</v>
      </c>
      <c r="H34" s="7" t="n">
        <v>120</v>
      </c>
      <c r="I34" s="7" t="n">
        <v>0</v>
      </c>
      <c r="J34" s="8" t="n">
        <f aca="false">C34*D34*E34</f>
        <v>3.6</v>
      </c>
      <c r="K34" s="8" t="n">
        <f aca="false">IF(H34=0,0,J34/H34)</f>
        <v>0.03</v>
      </c>
      <c r="L34" s="8" t="n">
        <f aca="false">J34*Parametry!$B$17</f>
        <v>7.2</v>
      </c>
      <c r="M34" s="8" t="n">
        <f aca="false">L34*Parametry!$B$18</f>
        <v>10.08</v>
      </c>
      <c r="N34" s="8" t="n">
        <f aca="false">M34*IF(F34&gt;0,Parametry!$B$19,1)</f>
        <v>10.08</v>
      </c>
      <c r="O34" s="8" t="n">
        <f aca="false">N34*Parametry!$B$20</f>
        <v>20.16</v>
      </c>
      <c r="P34" s="4" t="n">
        <f aca="false">H34*(1+0.8+1.2+1.8+2.5)</f>
        <v>876</v>
      </c>
      <c r="Q34" s="4" t="s">
        <v>165</v>
      </c>
    </row>
    <row r="36" customFormat="false" ht="15" hidden="false" customHeight="false" outlineLevel="0" collapsed="false">
      <c r="A36" s="2" t="s">
        <v>166</v>
      </c>
    </row>
    <row r="37" customFormat="false" ht="15" hidden="false" customHeight="false" outlineLevel="0" collapsed="false">
      <c r="A37" s="2" t="s">
        <v>167</v>
      </c>
    </row>
    <row r="39" customFormat="false" ht="15" hidden="false" customHeight="false" outlineLevel="0" collapsed="false">
      <c r="A39" s="9" t="s">
        <v>168</v>
      </c>
      <c r="B39" s="10" t="n">
        <f aca="false">MAX(K2:K34)</f>
        <v>0.75</v>
      </c>
    </row>
    <row r="40" customFormat="false" ht="15" hidden="false" customHeight="false" outlineLevel="0" collapsed="false">
      <c r="A40" s="9" t="s">
        <v>169</v>
      </c>
      <c r="B40" s="10" t="n">
        <f aca="false">SUMIF(K2:K34,"&gt;0")/COUNTIF(K2:K34,"&gt;0")</f>
        <v>0.129421393421393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34"/>
  </cols>
  <sheetData>
    <row r="1" customFormat="false" ht="31.5" hidden="false" customHeight="true" outlineLevel="0" collapsed="false">
      <c r="A1" s="3" t="s">
        <v>170</v>
      </c>
      <c r="B1" s="3" t="s">
        <v>171</v>
      </c>
      <c r="C1" s="3" t="s">
        <v>172</v>
      </c>
      <c r="D1" s="3" t="s">
        <v>173</v>
      </c>
      <c r="E1" s="3" t="s">
        <v>174</v>
      </c>
      <c r="F1" s="3" t="s">
        <v>175</v>
      </c>
      <c r="G1" s="3" t="s">
        <v>176</v>
      </c>
      <c r="H1" s="3" t="s">
        <v>177</v>
      </c>
      <c r="I1" s="3" t="s">
        <v>178</v>
      </c>
      <c r="J1" s="3" t="s">
        <v>65</v>
      </c>
    </row>
    <row r="2" customFormat="false" ht="15" hidden="false" customHeight="false" outlineLevel="0" collapsed="false">
      <c r="A2" s="4" t="s">
        <v>179</v>
      </c>
      <c r="B2" s="7" t="n">
        <v>30</v>
      </c>
      <c r="C2" s="7" t="n">
        <v>4</v>
      </c>
      <c r="D2" s="7" t="n">
        <v>40</v>
      </c>
      <c r="E2" s="7" t="n">
        <v>5</v>
      </c>
      <c r="F2" s="7" t="n">
        <v>1</v>
      </c>
      <c r="G2" s="4" t="s">
        <v>180</v>
      </c>
      <c r="H2" s="4" t="s">
        <v>181</v>
      </c>
      <c r="I2" s="8" t="n">
        <f aca="false">IF(E2=0,0,B2/E2)</f>
        <v>6</v>
      </c>
      <c r="J2" s="4"/>
    </row>
    <row r="3" customFormat="false" ht="15" hidden="false" customHeight="false" outlineLevel="0" collapsed="false">
      <c r="A3" s="4" t="s">
        <v>182</v>
      </c>
      <c r="B3" s="7" t="n">
        <v>15</v>
      </c>
      <c r="C3" s="7" t="n">
        <v>3</v>
      </c>
      <c r="D3" s="7" t="n">
        <v>110</v>
      </c>
      <c r="E3" s="7" t="n">
        <v>4</v>
      </c>
      <c r="F3" s="7" t="n">
        <v>3</v>
      </c>
      <c r="G3" s="4" t="s">
        <v>183</v>
      </c>
      <c r="H3" s="4" t="s">
        <v>184</v>
      </c>
      <c r="I3" s="8" t="n">
        <f aca="false">IF(E3=0,0,B3/E3)</f>
        <v>3.75</v>
      </c>
      <c r="J3" s="4" t="s">
        <v>185</v>
      </c>
    </row>
    <row r="4" customFormat="false" ht="15" hidden="false" customHeight="false" outlineLevel="0" collapsed="false">
      <c r="A4" s="4" t="s">
        <v>186</v>
      </c>
      <c r="B4" s="7" t="n">
        <v>80</v>
      </c>
      <c r="C4" s="7" t="n">
        <v>15</v>
      </c>
      <c r="D4" s="7" t="n">
        <v>45</v>
      </c>
      <c r="E4" s="7" t="n">
        <v>12</v>
      </c>
      <c r="F4" s="7" t="n">
        <v>3</v>
      </c>
      <c r="G4" s="4" t="s">
        <v>183</v>
      </c>
      <c r="H4" s="4" t="s">
        <v>184</v>
      </c>
      <c r="I4" s="8" t="n">
        <f aca="false">IF(E4=0,0,B4/E4)</f>
        <v>6.66666666666667</v>
      </c>
      <c r="J4" s="4" t="s">
        <v>187</v>
      </c>
    </row>
    <row r="5" customFormat="false" ht="15" hidden="false" customHeight="false" outlineLevel="0" collapsed="false">
      <c r="A5" s="4" t="s">
        <v>188</v>
      </c>
      <c r="B5" s="7" t="n">
        <v>160</v>
      </c>
      <c r="C5" s="7" t="n">
        <v>5</v>
      </c>
      <c r="D5" s="7" t="n">
        <v>35</v>
      </c>
      <c r="E5" s="7" t="n">
        <v>15</v>
      </c>
      <c r="F5" s="7" t="n">
        <v>6</v>
      </c>
      <c r="G5" s="4" t="s">
        <v>180</v>
      </c>
      <c r="H5" s="4" t="s">
        <v>181</v>
      </c>
      <c r="I5" s="8" t="n">
        <f aca="false">IF(E5=0,0,B5/E5)</f>
        <v>10.6666666666667</v>
      </c>
      <c r="J5" s="4" t="s">
        <v>189</v>
      </c>
    </row>
    <row r="6" customFormat="false" ht="15" hidden="false" customHeight="false" outlineLevel="0" collapsed="false">
      <c r="A6" s="4" t="s">
        <v>190</v>
      </c>
      <c r="B6" s="7" t="n">
        <v>40</v>
      </c>
      <c r="C6" s="7" t="n">
        <v>8</v>
      </c>
      <c r="D6" s="7" t="n">
        <v>50</v>
      </c>
      <c r="E6" s="7" t="n">
        <v>14</v>
      </c>
      <c r="F6" s="7" t="n">
        <v>6</v>
      </c>
      <c r="G6" s="4" t="s">
        <v>191</v>
      </c>
      <c r="H6" s="4" t="s">
        <v>192</v>
      </c>
      <c r="I6" s="8" t="n">
        <f aca="false">IF(E6=0,0,B6/E6)</f>
        <v>2.85714285714286</v>
      </c>
      <c r="J6" s="4" t="s">
        <v>193</v>
      </c>
    </row>
    <row r="7" customFormat="false" ht="15" hidden="false" customHeight="false" outlineLevel="0" collapsed="false">
      <c r="A7" s="4" t="s">
        <v>194</v>
      </c>
      <c r="B7" s="7" t="n">
        <v>45</v>
      </c>
      <c r="C7" s="7" t="n">
        <v>12</v>
      </c>
      <c r="D7" s="7" t="n">
        <v>40</v>
      </c>
      <c r="E7" s="7" t="n">
        <v>16</v>
      </c>
      <c r="F7" s="7" t="n">
        <v>9</v>
      </c>
      <c r="G7" s="4" t="s">
        <v>195</v>
      </c>
      <c r="H7" s="4" t="s">
        <v>192</v>
      </c>
      <c r="I7" s="8" t="n">
        <f aca="false">IF(E7=0,0,B7/E7)</f>
        <v>2.8125</v>
      </c>
      <c r="J7" s="4" t="s">
        <v>196</v>
      </c>
    </row>
    <row r="8" customFormat="false" ht="15" hidden="false" customHeight="false" outlineLevel="0" collapsed="false">
      <c r="A8" s="4" t="s">
        <v>197</v>
      </c>
      <c r="B8" s="7" t="n">
        <v>35</v>
      </c>
      <c r="C8" s="7" t="n">
        <v>10</v>
      </c>
      <c r="D8" s="7" t="n">
        <v>35</v>
      </c>
      <c r="E8" s="7" t="n">
        <v>18</v>
      </c>
      <c r="F8" s="7" t="n">
        <v>9</v>
      </c>
      <c r="G8" s="4" t="s">
        <v>198</v>
      </c>
      <c r="H8" s="4" t="s">
        <v>192</v>
      </c>
      <c r="I8" s="8" t="n">
        <f aca="false">IF(E8=0,0,B8/E8)</f>
        <v>1.94444444444444</v>
      </c>
      <c r="J8" s="4" t="s">
        <v>199</v>
      </c>
    </row>
    <row r="9" customFormat="false" ht="15" hidden="false" customHeight="false" outlineLevel="0" collapsed="false">
      <c r="A9" s="4" t="s">
        <v>200</v>
      </c>
      <c r="B9" s="7" t="n">
        <v>25</v>
      </c>
      <c r="C9" s="7" t="n">
        <v>0</v>
      </c>
      <c r="D9" s="7" t="n">
        <v>90</v>
      </c>
      <c r="E9" s="7" t="n">
        <v>20</v>
      </c>
      <c r="F9" s="7" t="n">
        <v>12</v>
      </c>
      <c r="G9" s="4" t="s">
        <v>180</v>
      </c>
      <c r="H9" s="4" t="s">
        <v>201</v>
      </c>
      <c r="I9" s="8" t="n">
        <f aca="false">IF(E9=0,0,B9/E9)</f>
        <v>1.25</v>
      </c>
      <c r="J9" s="4" t="s">
        <v>202</v>
      </c>
    </row>
    <row r="10" customFormat="false" ht="15" hidden="false" customHeight="false" outlineLevel="0" collapsed="false">
      <c r="A10" s="4" t="s">
        <v>203</v>
      </c>
      <c r="B10" s="7" t="n">
        <v>30</v>
      </c>
      <c r="C10" s="7" t="n">
        <v>0</v>
      </c>
      <c r="D10" s="7" t="n">
        <v>100</v>
      </c>
      <c r="E10" s="7" t="n">
        <v>30</v>
      </c>
      <c r="F10" s="7" t="n">
        <v>12</v>
      </c>
      <c r="G10" s="4" t="s">
        <v>183</v>
      </c>
      <c r="H10" s="4" t="s">
        <v>204</v>
      </c>
      <c r="I10" s="8" t="n">
        <f aca="false">IF(E10=0,0,B10/E10)</f>
        <v>1</v>
      </c>
      <c r="J10" s="4" t="s">
        <v>205</v>
      </c>
    </row>
    <row r="11" customFormat="false" ht="15" hidden="false" customHeight="false" outlineLevel="0" collapsed="false">
      <c r="A11" s="4" t="s">
        <v>206</v>
      </c>
      <c r="B11" s="7" t="n">
        <v>300</v>
      </c>
      <c r="C11" s="7" t="n">
        <v>40</v>
      </c>
      <c r="D11" s="7" t="n">
        <v>30</v>
      </c>
      <c r="E11" s="7" t="n">
        <v>40</v>
      </c>
      <c r="F11" s="7" t="n">
        <v>15</v>
      </c>
      <c r="G11" s="4" t="s">
        <v>183</v>
      </c>
      <c r="H11" s="4" t="s">
        <v>184</v>
      </c>
      <c r="I11" s="8" t="n">
        <f aca="false">IF(E11=0,0,B11/E11)</f>
        <v>7.5</v>
      </c>
      <c r="J11" s="4" t="s">
        <v>207</v>
      </c>
    </row>
    <row r="12" customFormat="false" ht="15" hidden="false" customHeight="false" outlineLevel="0" collapsed="false">
      <c r="A12" s="4" t="s">
        <v>208</v>
      </c>
      <c r="B12" s="7" t="n">
        <v>30</v>
      </c>
      <c r="C12" s="7" t="n">
        <v>30</v>
      </c>
      <c r="D12" s="7" t="n">
        <v>90</v>
      </c>
      <c r="E12" s="7" t="n">
        <v>30</v>
      </c>
      <c r="F12" s="7" t="n">
        <v>15</v>
      </c>
      <c r="G12" s="4" t="s">
        <v>209</v>
      </c>
      <c r="H12" s="4" t="s">
        <v>181</v>
      </c>
      <c r="I12" s="8" t="n">
        <f aca="false">IF(E12=0,0,B12/E12)</f>
        <v>1</v>
      </c>
      <c r="J12" s="4" t="s">
        <v>210</v>
      </c>
    </row>
    <row r="13" customFormat="false" ht="15" hidden="false" customHeight="false" outlineLevel="0" collapsed="false">
      <c r="A13" s="4" t="s">
        <v>211</v>
      </c>
      <c r="B13" s="7" t="n">
        <v>50</v>
      </c>
      <c r="C13" s="7" t="n">
        <v>0</v>
      </c>
      <c r="D13" s="7" t="n">
        <v>40</v>
      </c>
      <c r="E13" s="7" t="n">
        <v>25</v>
      </c>
      <c r="F13" s="7" t="n">
        <v>18</v>
      </c>
      <c r="G13" s="4" t="s">
        <v>212</v>
      </c>
      <c r="H13" s="4" t="s">
        <v>213</v>
      </c>
      <c r="I13" s="8" t="n">
        <f aca="false">IF(E13=0,0,B13/E13)</f>
        <v>2</v>
      </c>
      <c r="J13" s="4" t="s">
        <v>214</v>
      </c>
    </row>
    <row r="14" customFormat="false" ht="15" hidden="false" customHeight="false" outlineLevel="0" collapsed="false">
      <c r="A14" s="4" t="s">
        <v>215</v>
      </c>
      <c r="B14" s="7" t="n">
        <v>60</v>
      </c>
      <c r="C14" s="7" t="n">
        <v>4</v>
      </c>
      <c r="D14" s="7" t="n">
        <v>25</v>
      </c>
      <c r="E14" s="7" t="n">
        <v>8</v>
      </c>
      <c r="F14" s="7" t="n">
        <v>4</v>
      </c>
      <c r="G14" s="4" t="s">
        <v>180</v>
      </c>
      <c r="H14" s="4" t="s">
        <v>204</v>
      </c>
      <c r="I14" s="8" t="n">
        <f aca="false">IF(E14=0,0,B14/E14)</f>
        <v>7.5</v>
      </c>
      <c r="J14" s="4" t="s">
        <v>216</v>
      </c>
    </row>
    <row r="15" customFormat="false" ht="15" hidden="false" customHeight="false" outlineLevel="0" collapsed="false">
      <c r="A15" s="4" t="s">
        <v>217</v>
      </c>
      <c r="B15" s="7" t="n">
        <v>70</v>
      </c>
      <c r="C15" s="7" t="n">
        <v>6</v>
      </c>
      <c r="D15" s="7" t="n">
        <v>40</v>
      </c>
      <c r="E15" s="7" t="n">
        <v>18</v>
      </c>
      <c r="F15" s="7" t="n">
        <v>8</v>
      </c>
      <c r="G15" s="4" t="s">
        <v>218</v>
      </c>
      <c r="H15" s="4" t="s">
        <v>181</v>
      </c>
      <c r="I15" s="8" t="n">
        <f aca="false">IF(E15=0,0,B15/E15)</f>
        <v>3.88888888888889</v>
      </c>
      <c r="J15" s="4" t="s">
        <v>219</v>
      </c>
    </row>
    <row r="16" customFormat="false" ht="15" hidden="false" customHeight="false" outlineLevel="0" collapsed="false">
      <c r="A16" s="4" t="s">
        <v>220</v>
      </c>
      <c r="B16" s="7" t="n">
        <v>90</v>
      </c>
      <c r="C16" s="7" t="n">
        <v>6</v>
      </c>
      <c r="D16" s="7" t="n">
        <v>95</v>
      </c>
      <c r="E16" s="7" t="n">
        <v>22</v>
      </c>
      <c r="F16" s="7" t="n">
        <v>10</v>
      </c>
      <c r="G16" s="4" t="s">
        <v>180</v>
      </c>
      <c r="H16" s="4" t="s">
        <v>221</v>
      </c>
      <c r="I16" s="8" t="n">
        <f aca="false">IF(E16=0,0,B16/E16)</f>
        <v>4.09090909090909</v>
      </c>
      <c r="J16" s="4" t="s">
        <v>222</v>
      </c>
    </row>
    <row r="17" customFormat="false" ht="15" hidden="false" customHeight="false" outlineLevel="0" collapsed="false">
      <c r="A17" s="4" t="s">
        <v>223</v>
      </c>
      <c r="B17" s="7" t="n">
        <v>80</v>
      </c>
      <c r="C17" s="7" t="n">
        <v>0</v>
      </c>
      <c r="D17" s="7" t="n">
        <v>45</v>
      </c>
      <c r="E17" s="7" t="n">
        <v>20</v>
      </c>
      <c r="F17" s="7" t="n">
        <v>11</v>
      </c>
      <c r="G17" s="4" t="s">
        <v>180</v>
      </c>
      <c r="H17" s="4" t="s">
        <v>181</v>
      </c>
      <c r="I17" s="8" t="n">
        <f aca="false">IF(E17=0,0,B17/E17)</f>
        <v>4</v>
      </c>
      <c r="J17" s="4" t="s">
        <v>224</v>
      </c>
    </row>
    <row r="18" customFormat="false" ht="15" hidden="false" customHeight="false" outlineLevel="0" collapsed="false">
      <c r="A18" s="4" t="s">
        <v>225</v>
      </c>
      <c r="B18" s="7" t="n">
        <v>40</v>
      </c>
      <c r="C18" s="7" t="n">
        <v>0</v>
      </c>
      <c r="D18" s="7" t="n">
        <v>120</v>
      </c>
      <c r="E18" s="7" t="n">
        <v>15</v>
      </c>
      <c r="F18" s="7" t="n">
        <v>13</v>
      </c>
      <c r="G18" s="4" t="s">
        <v>191</v>
      </c>
      <c r="H18" s="4" t="s">
        <v>192</v>
      </c>
      <c r="I18" s="8" t="n">
        <f aca="false">IF(E18=0,0,B18/E18)</f>
        <v>2.66666666666667</v>
      </c>
      <c r="J18" s="4" t="s">
        <v>226</v>
      </c>
    </row>
    <row r="19" customFormat="false" ht="15" hidden="false" customHeight="false" outlineLevel="0" collapsed="false">
      <c r="A19" s="4" t="s">
        <v>227</v>
      </c>
      <c r="B19" s="7" t="n">
        <v>50</v>
      </c>
      <c r="C19" s="7" t="n">
        <v>0</v>
      </c>
      <c r="D19" s="7" t="n">
        <v>40</v>
      </c>
      <c r="E19" s="7" t="n">
        <v>30</v>
      </c>
      <c r="F19" s="7" t="n">
        <v>14</v>
      </c>
      <c r="G19" s="4" t="s">
        <v>212</v>
      </c>
      <c r="H19" s="4" t="s">
        <v>213</v>
      </c>
      <c r="I19" s="8" t="n">
        <f aca="false">IF(E19=0,0,B19/E19)</f>
        <v>1.66666666666667</v>
      </c>
      <c r="J19" s="4" t="s">
        <v>228</v>
      </c>
    </row>
    <row r="20" customFormat="false" ht="15" hidden="false" customHeight="false" outlineLevel="0" collapsed="false">
      <c r="A20" s="4" t="s">
        <v>229</v>
      </c>
      <c r="B20" s="7" t="n">
        <v>150</v>
      </c>
      <c r="C20" s="7" t="n">
        <v>20</v>
      </c>
      <c r="D20" s="7" t="n">
        <v>35</v>
      </c>
      <c r="E20" s="7" t="n">
        <v>25</v>
      </c>
      <c r="F20" s="7" t="n">
        <v>16</v>
      </c>
      <c r="G20" s="4" t="s">
        <v>180</v>
      </c>
      <c r="H20" s="4" t="s">
        <v>181</v>
      </c>
      <c r="I20" s="8" t="n">
        <f aca="false">IF(E20=0,0,B20/E20)</f>
        <v>6</v>
      </c>
      <c r="J20" s="4" t="s">
        <v>230</v>
      </c>
    </row>
    <row r="21" customFormat="false" ht="15" hidden="false" customHeight="false" outlineLevel="0" collapsed="false">
      <c r="A21" s="4" t="s">
        <v>231</v>
      </c>
      <c r="B21" s="7" t="n">
        <v>40</v>
      </c>
      <c r="C21" s="7" t="n">
        <v>0</v>
      </c>
      <c r="D21" s="7" t="n">
        <v>40</v>
      </c>
      <c r="E21" s="7" t="n">
        <v>0</v>
      </c>
      <c r="F21" s="7" t="n">
        <v>17</v>
      </c>
      <c r="G21" s="4" t="s">
        <v>183</v>
      </c>
      <c r="H21" s="4" t="s">
        <v>213</v>
      </c>
      <c r="I21" s="8" t="n">
        <f aca="false">IF(E21=0,0,B21/E21)</f>
        <v>0</v>
      </c>
      <c r="J21" s="4" t="s">
        <v>232</v>
      </c>
    </row>
    <row r="22" customFormat="false" ht="15" hidden="false" customHeight="false" outlineLevel="0" collapsed="false">
      <c r="A22" s="4" t="s">
        <v>233</v>
      </c>
      <c r="B22" s="7" t="n">
        <v>45</v>
      </c>
      <c r="C22" s="7" t="n">
        <v>5</v>
      </c>
      <c r="D22" s="7" t="n">
        <v>60</v>
      </c>
      <c r="E22" s="7" t="n">
        <v>12</v>
      </c>
      <c r="F22" s="7" t="n">
        <v>7</v>
      </c>
      <c r="G22" s="4" t="s">
        <v>180</v>
      </c>
      <c r="H22" s="4" t="s">
        <v>201</v>
      </c>
      <c r="I22" s="8" t="n">
        <f aca="false">IF(E22=0,0,B22/E22)</f>
        <v>3.75</v>
      </c>
      <c r="J22" s="4" t="s">
        <v>234</v>
      </c>
    </row>
    <row r="23" customFormat="false" ht="15" hidden="false" customHeight="false" outlineLevel="0" collapsed="false">
      <c r="A23" s="4" t="s">
        <v>235</v>
      </c>
      <c r="B23" s="7" t="n">
        <v>30</v>
      </c>
      <c r="C23" s="7" t="n">
        <v>0</v>
      </c>
      <c r="D23" s="7" t="n">
        <v>40</v>
      </c>
      <c r="E23" s="7" t="n">
        <v>25</v>
      </c>
      <c r="F23" s="7" t="n">
        <v>19</v>
      </c>
      <c r="G23" s="4" t="s">
        <v>212</v>
      </c>
      <c r="H23" s="4" t="s">
        <v>213</v>
      </c>
      <c r="I23" s="8" t="n">
        <f aca="false">IF(E23=0,0,B23/E23)</f>
        <v>1.2</v>
      </c>
      <c r="J23" s="4" t="s">
        <v>236</v>
      </c>
    </row>
    <row r="24" customFormat="false" ht="15" hidden="false" customHeight="false" outlineLevel="0" collapsed="false">
      <c r="A24" s="4" t="s">
        <v>237</v>
      </c>
      <c r="B24" s="7" t="n">
        <v>200</v>
      </c>
      <c r="C24" s="7" t="n">
        <v>15</v>
      </c>
      <c r="D24" s="7" t="n">
        <v>30</v>
      </c>
      <c r="E24" s="7" t="n">
        <v>28</v>
      </c>
      <c r="F24" s="7" t="n">
        <v>13</v>
      </c>
      <c r="G24" s="4" t="s">
        <v>195</v>
      </c>
      <c r="H24" s="4" t="s">
        <v>221</v>
      </c>
      <c r="I24" s="8" t="n">
        <f aca="false">IF(E24=0,0,B24/E24)</f>
        <v>7.14285714285714</v>
      </c>
      <c r="J24" s="4" t="s">
        <v>238</v>
      </c>
    </row>
    <row r="25" customFormat="false" ht="15" hidden="false" customHeight="false" outlineLevel="0" collapsed="false">
      <c r="A25" s="4" t="s">
        <v>239</v>
      </c>
      <c r="B25" s="7" t="n">
        <v>120</v>
      </c>
      <c r="C25" s="7" t="n">
        <v>0</v>
      </c>
      <c r="D25" s="7" t="n">
        <v>35</v>
      </c>
      <c r="E25" s="7" t="n">
        <v>24</v>
      </c>
      <c r="F25" s="7" t="n">
        <v>20</v>
      </c>
      <c r="G25" s="4" t="s">
        <v>180</v>
      </c>
      <c r="H25" s="4" t="s">
        <v>213</v>
      </c>
      <c r="I25" s="8" t="n">
        <f aca="false">IF(E25=0,0,B25/E25)</f>
        <v>5</v>
      </c>
      <c r="J25" s="4" t="s">
        <v>240</v>
      </c>
    </row>
    <row r="26" customFormat="false" ht="15" hidden="false" customHeight="false" outlineLevel="0" collapsed="false">
      <c r="A26" s="4" t="s">
        <v>241</v>
      </c>
      <c r="B26" s="7" t="n">
        <v>40</v>
      </c>
      <c r="C26" s="7" t="n">
        <v>0</v>
      </c>
      <c r="D26" s="7" t="n">
        <v>45</v>
      </c>
      <c r="E26" s="7" t="n">
        <v>20</v>
      </c>
      <c r="F26" s="7" t="n">
        <v>21</v>
      </c>
      <c r="G26" s="4" t="s">
        <v>183</v>
      </c>
      <c r="H26" s="4" t="s">
        <v>213</v>
      </c>
      <c r="I26" s="8" t="n">
        <f aca="false">IF(E26=0,0,B26/E26)</f>
        <v>2</v>
      </c>
      <c r="J26" s="4" t="s">
        <v>242</v>
      </c>
    </row>
    <row r="27" customFormat="false" ht="15" hidden="false" customHeight="false" outlineLevel="0" collapsed="false">
      <c r="A27" s="4" t="s">
        <v>243</v>
      </c>
      <c r="B27" s="7" t="n">
        <v>80</v>
      </c>
      <c r="C27" s="7" t="n">
        <v>8</v>
      </c>
      <c r="D27" s="7" t="n">
        <v>70</v>
      </c>
      <c r="E27" s="7" t="n">
        <v>18</v>
      </c>
      <c r="F27" s="7" t="n">
        <v>17</v>
      </c>
      <c r="G27" s="4" t="s">
        <v>180</v>
      </c>
      <c r="H27" s="4" t="s">
        <v>204</v>
      </c>
      <c r="I27" s="8" t="n">
        <f aca="false">IF(E27=0,0,B27/E27)</f>
        <v>4.44444444444445</v>
      </c>
      <c r="J27" s="4" t="s">
        <v>244</v>
      </c>
    </row>
    <row r="28" customFormat="false" ht="15" hidden="false" customHeight="false" outlineLevel="0" collapsed="false">
      <c r="A28" s="4" t="s">
        <v>245</v>
      </c>
      <c r="B28" s="7" t="n">
        <v>250</v>
      </c>
      <c r="C28" s="7" t="n">
        <v>5</v>
      </c>
      <c r="D28" s="7" t="n">
        <v>25</v>
      </c>
      <c r="E28" s="7" t="n">
        <v>35</v>
      </c>
      <c r="F28" s="7" t="n">
        <v>22</v>
      </c>
      <c r="G28" s="4" t="s">
        <v>246</v>
      </c>
      <c r="H28" s="4" t="s">
        <v>204</v>
      </c>
      <c r="I28" s="8" t="n">
        <f aca="false">IF(E28=0,0,B28/E28)</f>
        <v>7.14285714285714</v>
      </c>
      <c r="J28" s="4" t="s">
        <v>247</v>
      </c>
    </row>
    <row r="29" customFormat="false" ht="15" hidden="false" customHeight="false" outlineLevel="0" collapsed="false">
      <c r="A29" s="4" t="s">
        <v>248</v>
      </c>
      <c r="B29" s="7" t="n">
        <v>120</v>
      </c>
      <c r="C29" s="7" t="n">
        <v>25</v>
      </c>
      <c r="D29" s="7" t="n">
        <v>130</v>
      </c>
      <c r="E29" s="7" t="n">
        <v>30</v>
      </c>
      <c r="F29" s="7" t="n">
        <v>18</v>
      </c>
      <c r="G29" s="4" t="s">
        <v>183</v>
      </c>
      <c r="H29" s="4" t="s">
        <v>184</v>
      </c>
      <c r="I29" s="8" t="n">
        <f aca="false">IF(E29=0,0,B29/E29)</f>
        <v>4</v>
      </c>
      <c r="J29" s="4" t="s">
        <v>249</v>
      </c>
    </row>
    <row r="30" customFormat="false" ht="15" hidden="false" customHeight="false" outlineLevel="0" collapsed="false">
      <c r="A30" s="4" t="s">
        <v>250</v>
      </c>
      <c r="B30" s="7" t="n">
        <v>60</v>
      </c>
      <c r="C30" s="7" t="n">
        <v>0</v>
      </c>
      <c r="D30" s="7" t="n">
        <v>40</v>
      </c>
      <c r="E30" s="7" t="n">
        <v>26</v>
      </c>
      <c r="F30" s="7" t="n">
        <v>23</v>
      </c>
      <c r="G30" s="4" t="s">
        <v>251</v>
      </c>
      <c r="H30" s="4" t="s">
        <v>192</v>
      </c>
      <c r="I30" s="8" t="n">
        <f aca="false">IF(E30=0,0,B30/E30)</f>
        <v>2.30769230769231</v>
      </c>
      <c r="J30" s="4" t="s">
        <v>252</v>
      </c>
    </row>
    <row r="31" customFormat="false" ht="15" hidden="false" customHeight="false" outlineLevel="0" collapsed="false">
      <c r="A31" s="4" t="s">
        <v>253</v>
      </c>
      <c r="B31" s="7" t="n">
        <v>70</v>
      </c>
      <c r="C31" s="7" t="n">
        <v>4</v>
      </c>
      <c r="D31" s="7" t="n">
        <v>40</v>
      </c>
      <c r="E31" s="7" t="n">
        <v>22</v>
      </c>
      <c r="F31" s="7" t="n">
        <v>24</v>
      </c>
      <c r="G31" s="4" t="s">
        <v>254</v>
      </c>
      <c r="H31" s="4" t="s">
        <v>192</v>
      </c>
      <c r="I31" s="8" t="n">
        <f aca="false">IF(E31=0,0,B31/E31)</f>
        <v>3.18181818181818</v>
      </c>
      <c r="J31" s="4" t="s">
        <v>255</v>
      </c>
    </row>
    <row r="32" customFormat="false" ht="15" hidden="false" customHeight="false" outlineLevel="0" collapsed="false">
      <c r="A32" s="4" t="s">
        <v>256</v>
      </c>
      <c r="B32" s="7" t="n">
        <v>360</v>
      </c>
      <c r="C32" s="7" t="n">
        <v>24</v>
      </c>
      <c r="D32" s="7" t="n">
        <v>30</v>
      </c>
      <c r="E32" s="7" t="n">
        <v>48</v>
      </c>
      <c r="F32" s="7" t="n">
        <v>25</v>
      </c>
      <c r="G32" s="4" t="s">
        <v>183</v>
      </c>
      <c r="H32" s="4" t="s">
        <v>184</v>
      </c>
      <c r="I32" s="8" t="n">
        <f aca="false">IF(E32=0,0,B32/E32)</f>
        <v>7.5</v>
      </c>
      <c r="J32" s="4" t="s">
        <v>257</v>
      </c>
    </row>
    <row r="33" customFormat="false" ht="15" hidden="false" customHeight="false" outlineLevel="0" collapsed="false">
      <c r="A33" s="4" t="s">
        <v>258</v>
      </c>
      <c r="B33" s="7" t="n">
        <v>100</v>
      </c>
      <c r="C33" s="7" t="n">
        <v>30</v>
      </c>
      <c r="D33" s="7" t="n">
        <v>55</v>
      </c>
      <c r="E33" s="7" t="n">
        <v>40</v>
      </c>
      <c r="F33" s="7" t="n">
        <v>26</v>
      </c>
      <c r="G33" s="4" t="s">
        <v>259</v>
      </c>
      <c r="H33" s="4" t="s">
        <v>201</v>
      </c>
      <c r="I33" s="8" t="n">
        <f aca="false">IF(E33=0,0,B33/E33)</f>
        <v>2.5</v>
      </c>
      <c r="J33" s="4" t="s">
        <v>260</v>
      </c>
    </row>
    <row r="34" customFormat="false" ht="15" hidden="false" customHeight="false" outlineLevel="0" collapsed="false">
      <c r="A34" s="4" t="s">
        <v>261</v>
      </c>
      <c r="B34" s="7" t="n">
        <v>60</v>
      </c>
      <c r="C34" s="7" t="n">
        <v>0</v>
      </c>
      <c r="D34" s="7" t="n">
        <v>50</v>
      </c>
      <c r="E34" s="7" t="n">
        <v>30</v>
      </c>
      <c r="F34" s="7" t="n">
        <v>27</v>
      </c>
      <c r="G34" s="4" t="s">
        <v>191</v>
      </c>
      <c r="H34" s="4" t="s">
        <v>192</v>
      </c>
      <c r="I34" s="8" t="n">
        <f aca="false">IF(E34=0,0,B34/E34)</f>
        <v>2</v>
      </c>
      <c r="J34" s="4" t="s">
        <v>262</v>
      </c>
    </row>
    <row r="36" customFormat="false" ht="15" hidden="false" customHeight="false" outlineLevel="0" collapsed="false">
      <c r="A36" s="2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31.5" hidden="false" customHeight="true" outlineLevel="0" collapsed="false">
      <c r="A1" s="3" t="s">
        <v>264</v>
      </c>
      <c r="B1" s="3" t="s">
        <v>59</v>
      </c>
      <c r="C1" s="3" t="s">
        <v>265</v>
      </c>
      <c r="D1" s="3" t="s">
        <v>266</v>
      </c>
      <c r="E1" s="3" t="s">
        <v>267</v>
      </c>
      <c r="F1" s="3" t="s">
        <v>268</v>
      </c>
      <c r="G1" s="3" t="s">
        <v>269</v>
      </c>
      <c r="H1" s="3" t="s">
        <v>65</v>
      </c>
    </row>
    <row r="2" customFormat="false" ht="15" hidden="false" customHeight="false" outlineLevel="0" collapsed="false">
      <c r="A2" s="4" t="s">
        <v>270</v>
      </c>
      <c r="B2" s="7" t="n">
        <v>3000</v>
      </c>
      <c r="C2" s="7" t="n">
        <v>10</v>
      </c>
      <c r="D2" s="7" t="n">
        <v>300</v>
      </c>
      <c r="E2" s="7" t="n">
        <v>60</v>
      </c>
      <c r="F2" s="8" t="n">
        <f aca="false">IF(E2=0,0,B2/E2)</f>
        <v>50</v>
      </c>
      <c r="G2" s="8" t="n">
        <f aca="false">F2/1.5</f>
        <v>33.3333333333333</v>
      </c>
      <c r="H2" s="4" t="s">
        <v>271</v>
      </c>
    </row>
    <row r="3" customFormat="false" ht="15" hidden="false" customHeight="false" outlineLevel="0" collapsed="false">
      <c r="A3" s="4" t="s">
        <v>272</v>
      </c>
      <c r="B3" s="7" t="n">
        <v>6000</v>
      </c>
      <c r="C3" s="7" t="n">
        <v>20</v>
      </c>
      <c r="D3" s="7" t="n">
        <v>500</v>
      </c>
      <c r="E3" s="7" t="n">
        <v>75</v>
      </c>
      <c r="F3" s="8" t="n">
        <f aca="false">IF(E3=0,0,B3/E3)</f>
        <v>80</v>
      </c>
      <c r="G3" s="8" t="n">
        <f aca="false">F3/1.5</f>
        <v>53.3333333333333</v>
      </c>
      <c r="H3" s="4" t="s">
        <v>273</v>
      </c>
    </row>
    <row r="4" customFormat="false" ht="15" hidden="false" customHeight="false" outlineLevel="0" collapsed="false">
      <c r="A4" s="4" t="s">
        <v>274</v>
      </c>
      <c r="B4" s="7" t="n">
        <v>8000</v>
      </c>
      <c r="C4" s="7" t="n">
        <v>20</v>
      </c>
      <c r="D4" s="7" t="n">
        <v>600</v>
      </c>
      <c r="E4" s="7" t="n">
        <v>90</v>
      </c>
      <c r="F4" s="8" t="n">
        <f aca="false">IF(E4=0,0,B4/E4)</f>
        <v>88.8888888888889</v>
      </c>
      <c r="G4" s="8" t="n">
        <f aca="false">F4/1.5</f>
        <v>59.2592592592593</v>
      </c>
      <c r="H4" s="4" t="s">
        <v>275</v>
      </c>
    </row>
    <row r="5" customFormat="false" ht="15" hidden="false" customHeight="false" outlineLevel="0" collapsed="false">
      <c r="A5" s="4" t="s">
        <v>276</v>
      </c>
      <c r="B5" s="7" t="n">
        <v>4000</v>
      </c>
      <c r="C5" s="7" t="n">
        <v>10</v>
      </c>
      <c r="D5" s="7" t="n">
        <v>400</v>
      </c>
      <c r="E5" s="7" t="n">
        <v>60</v>
      </c>
      <c r="F5" s="8" t="n">
        <f aca="false">IF(E5=0,0,B5/E5)</f>
        <v>66.6666666666667</v>
      </c>
      <c r="G5" s="8" t="n">
        <f aca="false">F5/1.5</f>
        <v>44.4444444444445</v>
      </c>
      <c r="H5" s="4" t="s">
        <v>277</v>
      </c>
    </row>
    <row r="6" customFormat="false" ht="15" hidden="false" customHeight="false" outlineLevel="0" collapsed="false">
      <c r="A6" s="4" t="s">
        <v>278</v>
      </c>
      <c r="B6" s="7" t="n">
        <v>10000</v>
      </c>
      <c r="C6" s="7" t="n">
        <v>20</v>
      </c>
      <c r="D6" s="7" t="n">
        <v>700</v>
      </c>
      <c r="E6" s="7" t="n">
        <v>100</v>
      </c>
      <c r="F6" s="8" t="n">
        <f aca="false">IF(E6=0,0,B6/E6)</f>
        <v>100</v>
      </c>
      <c r="G6" s="8" t="n">
        <f aca="false">F6/1.5</f>
        <v>66.6666666666667</v>
      </c>
      <c r="H6" s="4" t="s">
        <v>279</v>
      </c>
    </row>
    <row r="7" customFormat="false" ht="15" hidden="false" customHeight="false" outlineLevel="0" collapsed="false">
      <c r="A7" s="4" t="s">
        <v>280</v>
      </c>
      <c r="B7" s="7" t="n">
        <v>4000</v>
      </c>
      <c r="C7" s="7" t="n">
        <v>10</v>
      </c>
      <c r="D7" s="7" t="n">
        <v>400</v>
      </c>
      <c r="E7" s="7" t="n">
        <v>60</v>
      </c>
      <c r="F7" s="8" t="n">
        <f aca="false">IF(E7=0,0,B7/E7)</f>
        <v>66.6666666666667</v>
      </c>
      <c r="G7" s="8" t="n">
        <f aca="false">F7/1.5</f>
        <v>44.4444444444445</v>
      </c>
      <c r="H7" s="4" t="s">
        <v>281</v>
      </c>
    </row>
    <row r="8" customFormat="false" ht="15" hidden="false" customHeight="false" outlineLevel="0" collapsed="false">
      <c r="A8" s="4" t="s">
        <v>282</v>
      </c>
      <c r="B8" s="7" t="n">
        <v>5000</v>
      </c>
      <c r="C8" s="7" t="n">
        <v>20</v>
      </c>
      <c r="D8" s="7" t="n">
        <v>500</v>
      </c>
      <c r="E8" s="7" t="n">
        <v>90</v>
      </c>
      <c r="F8" s="8" t="n">
        <f aca="false">IF(E8=0,0,B8/E8)</f>
        <v>55.5555555555556</v>
      </c>
      <c r="G8" s="8" t="n">
        <f aca="false">F8/1.5</f>
        <v>37.037037037037</v>
      </c>
      <c r="H8" s="4" t="s">
        <v>283</v>
      </c>
    </row>
    <row r="9" customFormat="false" ht="15" hidden="false" customHeight="false" outlineLevel="0" collapsed="false">
      <c r="A9" s="4" t="s">
        <v>284</v>
      </c>
      <c r="B9" s="7" t="n">
        <v>6000</v>
      </c>
      <c r="C9" s="7" t="n">
        <v>20</v>
      </c>
      <c r="D9" s="7" t="n">
        <v>600</v>
      </c>
      <c r="E9" s="7" t="n">
        <v>90</v>
      </c>
      <c r="F9" s="8" t="n">
        <f aca="false">IF(E9=0,0,B9/E9)</f>
        <v>66.6666666666667</v>
      </c>
      <c r="G9" s="8" t="n">
        <f aca="false">F9/1.5</f>
        <v>44.4444444444445</v>
      </c>
      <c r="H9" s="4" t="s">
        <v>285</v>
      </c>
    </row>
    <row r="10" customFormat="false" ht="15" hidden="false" customHeight="false" outlineLevel="0" collapsed="false">
      <c r="A10" s="4" t="s">
        <v>286</v>
      </c>
      <c r="B10" s="7" t="n">
        <v>0</v>
      </c>
      <c r="C10" s="7" t="n">
        <v>20</v>
      </c>
      <c r="D10" s="7" t="n">
        <v>500</v>
      </c>
      <c r="E10" s="7" t="n">
        <v>90</v>
      </c>
      <c r="F10" s="8" t="n">
        <f aca="false">IF(E10=0,0,B10/E10)</f>
        <v>0</v>
      </c>
      <c r="G10" s="8" t="n">
        <f aca="false">F10/1.5</f>
        <v>0</v>
      </c>
      <c r="H10" s="4" t="s">
        <v>287</v>
      </c>
    </row>
    <row r="11" customFormat="false" ht="15" hidden="false" customHeight="false" outlineLevel="0" collapsed="false">
      <c r="A11" s="4" t="s">
        <v>288</v>
      </c>
      <c r="B11" s="7" t="n">
        <v>7000</v>
      </c>
      <c r="C11" s="7" t="n">
        <v>20</v>
      </c>
      <c r="D11" s="7" t="n">
        <v>600</v>
      </c>
      <c r="E11" s="7" t="n">
        <v>90</v>
      </c>
      <c r="F11" s="8" t="n">
        <f aca="false">IF(E11=0,0,B11/E11)</f>
        <v>77.7777777777778</v>
      </c>
      <c r="G11" s="8" t="n">
        <f aca="false">F11/1.5</f>
        <v>51.8518518518519</v>
      </c>
      <c r="H11" s="4" t="s">
        <v>289</v>
      </c>
    </row>
    <row r="12" customFormat="false" ht="15" hidden="false" customHeight="false" outlineLevel="0" collapsed="false">
      <c r="A12" s="4" t="s">
        <v>290</v>
      </c>
      <c r="B12" s="7" t="n">
        <v>600</v>
      </c>
      <c r="C12" s="7" t="n">
        <v>10</v>
      </c>
      <c r="D12" s="7" t="n">
        <v>300</v>
      </c>
      <c r="E12" s="7" t="n">
        <v>45</v>
      </c>
      <c r="F12" s="8" t="n">
        <f aca="false">IF(E12=0,0,B12/E12)</f>
        <v>13.3333333333333</v>
      </c>
      <c r="G12" s="8" t="n">
        <f aca="false">F12/1.5</f>
        <v>8.88888888888889</v>
      </c>
      <c r="H12" s="4" t="s">
        <v>291</v>
      </c>
    </row>
    <row r="13" customFormat="false" ht="15" hidden="false" customHeight="false" outlineLevel="0" collapsed="false">
      <c r="A13" s="4" t="s">
        <v>292</v>
      </c>
      <c r="B13" s="7" t="n">
        <v>5000</v>
      </c>
      <c r="C13" s="7" t="n">
        <v>8</v>
      </c>
      <c r="D13" s="7" t="n">
        <v>500</v>
      </c>
      <c r="E13" s="7" t="n">
        <v>75</v>
      </c>
      <c r="F13" s="8" t="n">
        <f aca="false">IF(E13=0,0,B13/E13)</f>
        <v>66.6666666666667</v>
      </c>
      <c r="G13" s="8" t="n">
        <f aca="false">F13/1.5</f>
        <v>44.4444444444445</v>
      </c>
      <c r="H13" s="4" t="s">
        <v>293</v>
      </c>
    </row>
    <row r="14" customFormat="false" ht="15" hidden="false" customHeight="false" outlineLevel="0" collapsed="false">
      <c r="A14" s="4" t="s">
        <v>294</v>
      </c>
      <c r="B14" s="7" t="n">
        <v>5000</v>
      </c>
      <c r="C14" s="7" t="n">
        <v>20</v>
      </c>
      <c r="D14" s="7" t="n">
        <v>500</v>
      </c>
      <c r="E14" s="7" t="n">
        <v>90</v>
      </c>
      <c r="F14" s="8" t="n">
        <f aca="false">IF(E14=0,0,B14/E14)</f>
        <v>55.5555555555556</v>
      </c>
      <c r="G14" s="8" t="n">
        <f aca="false">F14/1.5</f>
        <v>37.037037037037</v>
      </c>
      <c r="H14" s="4" t="s">
        <v>295</v>
      </c>
    </row>
    <row r="15" customFormat="false" ht="15" hidden="false" customHeight="false" outlineLevel="0" collapsed="false">
      <c r="A15" s="4" t="s">
        <v>296</v>
      </c>
      <c r="B15" s="7" t="n">
        <v>40000</v>
      </c>
      <c r="C15" s="7" t="n">
        <v>30</v>
      </c>
      <c r="D15" s="7" t="n">
        <v>2000</v>
      </c>
      <c r="E15" s="7" t="n">
        <v>240</v>
      </c>
      <c r="F15" s="8" t="n">
        <f aca="false">IF(E15=0,0,B15/E15)</f>
        <v>166.666666666667</v>
      </c>
      <c r="G15" s="8" t="n">
        <f aca="false">F15/1.5</f>
        <v>111.111111111111</v>
      </c>
      <c r="H15" s="4" t="s">
        <v>297</v>
      </c>
    </row>
    <row r="17" customFormat="false" ht="15" hidden="false" customHeight="false" outlineLevel="0" collapsed="false">
      <c r="A17" s="2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6" min="4" style="0" width="10"/>
  </cols>
  <sheetData>
    <row r="1" customFormat="false" ht="31.5" hidden="false" customHeight="true" outlineLevel="0" collapsed="false">
      <c r="A1" s="3" t="s">
        <v>299</v>
      </c>
      <c r="B1" s="3" t="s">
        <v>300</v>
      </c>
      <c r="C1" s="3" t="s">
        <v>301</v>
      </c>
      <c r="D1" s="3" t="s">
        <v>73</v>
      </c>
      <c r="E1" s="3" t="s">
        <v>170</v>
      </c>
      <c r="F1" s="3" t="s">
        <v>264</v>
      </c>
    </row>
    <row r="2" customFormat="false" ht="15" hidden="false" customHeight="false" outlineLevel="0" collapsed="false">
      <c r="A2" s="4" t="s">
        <v>302</v>
      </c>
      <c r="B2" s="7" t="n">
        <v>1</v>
      </c>
      <c r="C2" s="7" t="n">
        <v>0.3</v>
      </c>
      <c r="D2" s="7" t="n">
        <v>0.5</v>
      </c>
      <c r="E2" s="7" t="n">
        <v>0</v>
      </c>
      <c r="F2" s="7" t="n">
        <v>0</v>
      </c>
    </row>
    <row r="3" customFormat="false" ht="15" hidden="false" customHeight="false" outlineLevel="0" collapsed="false">
      <c r="A3" s="4" t="s">
        <v>303</v>
      </c>
      <c r="B3" s="7" t="n">
        <v>2</v>
      </c>
      <c r="C3" s="7" t="n">
        <v>0.2</v>
      </c>
      <c r="D3" s="7" t="n">
        <v>0</v>
      </c>
      <c r="E3" s="7" t="n">
        <v>1</v>
      </c>
      <c r="F3" s="7" t="n">
        <v>0.5</v>
      </c>
    </row>
    <row r="4" customFormat="false" ht="15" hidden="false" customHeight="false" outlineLevel="0" collapsed="false">
      <c r="A4" s="4" t="s">
        <v>304</v>
      </c>
      <c r="B4" s="7" t="n">
        <v>1.5</v>
      </c>
      <c r="C4" s="7" t="n">
        <v>1</v>
      </c>
      <c r="D4" s="7" t="n">
        <v>0.8</v>
      </c>
      <c r="E4" s="7" t="n">
        <v>1.5</v>
      </c>
      <c r="F4" s="7" t="n">
        <v>1</v>
      </c>
    </row>
    <row r="5" customFormat="false" ht="15" hidden="false" customHeight="false" outlineLevel="0" collapsed="false">
      <c r="A5" s="4" t="s">
        <v>305</v>
      </c>
      <c r="B5" s="7" t="n">
        <v>1</v>
      </c>
      <c r="C5" s="7" t="n">
        <v>1</v>
      </c>
      <c r="D5" s="7" t="n">
        <v>1</v>
      </c>
      <c r="E5" s="7" t="n">
        <v>1</v>
      </c>
      <c r="F5" s="7" t="n">
        <v>1.5</v>
      </c>
    </row>
    <row r="6" customFormat="false" ht="15" hidden="false" customHeight="false" outlineLevel="0" collapsed="false">
      <c r="A6" s="4" t="s">
        <v>306</v>
      </c>
      <c r="B6" s="7" t="n">
        <v>0</v>
      </c>
      <c r="C6" s="7" t="n">
        <v>1.5</v>
      </c>
      <c r="D6" s="7" t="n">
        <v>0</v>
      </c>
      <c r="E6" s="7" t="n">
        <v>1.2</v>
      </c>
      <c r="F6" s="7" t="n">
        <v>0.3</v>
      </c>
    </row>
    <row r="7" customFormat="false" ht="15" hidden="false" customHeight="false" outlineLevel="0" collapsed="false">
      <c r="A7" s="4" t="s">
        <v>307</v>
      </c>
      <c r="B7" s="7" t="n">
        <v>0</v>
      </c>
      <c r="C7" s="7" t="n">
        <v>0</v>
      </c>
      <c r="D7" s="7" t="n">
        <v>0</v>
      </c>
      <c r="E7" s="7" t="n">
        <v>1</v>
      </c>
      <c r="F7" s="7" t="n">
        <v>0.2</v>
      </c>
    </row>
    <row r="9" customFormat="false" ht="15" hidden="false" customHeight="false" outlineLevel="0" collapsed="false">
      <c r="A9" s="2" t="s">
        <v>308</v>
      </c>
    </row>
    <row r="11" customFormat="false" ht="15" hidden="false" customHeight="false" outlineLevel="0" collapsed="false">
      <c r="A11" s="9" t="s">
        <v>309</v>
      </c>
    </row>
    <row r="12" customFormat="false" ht="15" hidden="false" customHeight="false" outlineLevel="0" collapsed="false">
      <c r="A12" s="11" t="s">
        <v>310</v>
      </c>
      <c r="B12" s="12" t="n">
        <v>100</v>
      </c>
    </row>
    <row r="13" customFormat="false" ht="15" hidden="false" customHeight="false" outlineLevel="0" collapsed="false">
      <c r="A13" s="11" t="s">
        <v>311</v>
      </c>
      <c r="B13" s="12" t="n">
        <v>60</v>
      </c>
    </row>
    <row r="14" customFormat="false" ht="15" hidden="false" customHeight="false" outlineLevel="0" collapsed="false">
      <c r="A14" s="11" t="s">
        <v>312</v>
      </c>
      <c r="B14" s="12" t="n">
        <v>30</v>
      </c>
    </row>
    <row r="15" customFormat="false" ht="15" hidden="false" customHeight="false" outlineLevel="0" collapsed="false">
      <c r="A15" s="11" t="s">
        <v>313</v>
      </c>
      <c r="B15" s="13" t="n">
        <f aca="false">IF(B14&gt;=B13,0,B12*(1-B14/B13)^2)</f>
        <v>25</v>
      </c>
    </row>
    <row r="16" customFormat="false" ht="15" hidden="false" customHeight="false" outlineLevel="0" collapsed="false">
      <c r="A16" s="11" t="s">
        <v>314</v>
      </c>
      <c r="B16" s="13" t="n">
        <f aca="false">B15*Parametry!$B$21</f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2" min="2" style="0" width="9"/>
    <col collapsed="false" customWidth="true" hidden="false" outlineLevel="0" max="23" min="23" style="0" width="10"/>
    <col collapsed="false" customWidth="true" hidden="false" outlineLevel="0" max="26" min="24" style="0" width="12"/>
    <col collapsed="false" customWidth="true" hidden="false" outlineLevel="0" max="27" min="27" style="0" width="10"/>
    <col collapsed="false" customWidth="true" hidden="false" outlineLevel="0" max="32" min="28" style="0" width="12"/>
    <col collapsed="false" customWidth="true" hidden="false" outlineLevel="0" max="33" min="33" style="0" width="9"/>
    <col collapsed="false" customWidth="true" hidden="false" outlineLevel="0" max="34" min="34" style="0" width="22"/>
  </cols>
  <sheetData>
    <row r="1" customFormat="false" ht="15" hidden="false" customHeight="false" outlineLevel="0" collapsed="false">
      <c r="A1" s="9" t="s">
        <v>315</v>
      </c>
      <c r="D1" s="14" t="n">
        <v>6</v>
      </c>
      <c r="E1" s="14" t="n">
        <v>3</v>
      </c>
      <c r="F1" s="14" t="n">
        <v>2</v>
      </c>
      <c r="G1" s="14" t="n">
        <v>2</v>
      </c>
      <c r="H1" s="14" t="n">
        <v>2</v>
      </c>
      <c r="I1" s="14" t="n">
        <v>2</v>
      </c>
      <c r="J1" s="14" t="n">
        <v>1</v>
      </c>
      <c r="K1" s="14" t="n">
        <v>1</v>
      </c>
      <c r="L1" s="14" t="n">
        <v>1</v>
      </c>
      <c r="M1" s="14" t="n">
        <v>1</v>
      </c>
      <c r="N1" s="14" t="n">
        <v>1</v>
      </c>
      <c r="O1" s="14" t="n">
        <v>1</v>
      </c>
      <c r="P1" s="14" t="n">
        <v>2</v>
      </c>
      <c r="Q1" s="14" t="n">
        <v>1</v>
      </c>
      <c r="R1" s="14" t="n">
        <v>1</v>
      </c>
      <c r="S1" s="14" t="n">
        <v>2</v>
      </c>
      <c r="T1" s="14" t="n">
        <v>1</v>
      </c>
      <c r="U1" s="14" t="n">
        <v>1</v>
      </c>
      <c r="V1" s="14" t="n">
        <v>1</v>
      </c>
    </row>
    <row r="2" customFormat="false" ht="15" hidden="false" customHeight="false" outlineLevel="0" collapsed="false">
      <c r="A2" s="9" t="s">
        <v>316</v>
      </c>
      <c r="D2" s="15" t="n">
        <f aca="false">Nepřátelé!$F$2</f>
        <v>1</v>
      </c>
      <c r="E2" s="15" t="n">
        <f aca="false">Nepřátelé!$F$3</f>
        <v>3</v>
      </c>
      <c r="F2" s="15" t="n">
        <f aca="false">Nepřátelé!$F$4</f>
        <v>3</v>
      </c>
      <c r="G2" s="15" t="n">
        <f aca="false">Nepřátelé!$F$5</f>
        <v>6</v>
      </c>
      <c r="H2" s="15" t="n">
        <f aca="false">Nepřátelé!$F$6</f>
        <v>6</v>
      </c>
      <c r="I2" s="15" t="n">
        <f aca="false">Nepřátelé!$F$7</f>
        <v>9</v>
      </c>
      <c r="J2" s="15" t="n">
        <f aca="false">Nepřátelé!$F$8</f>
        <v>9</v>
      </c>
      <c r="K2" s="15" t="n">
        <f aca="false">Nepřátelé!$F$9</f>
        <v>12</v>
      </c>
      <c r="L2" s="15" t="n">
        <f aca="false">Nepřátelé!$F$10</f>
        <v>12</v>
      </c>
      <c r="M2" s="15" t="n">
        <f aca="false">Nepřátelé!$F$11</f>
        <v>15</v>
      </c>
      <c r="N2" s="15" t="n">
        <f aca="false">Nepřátelé!$F$12</f>
        <v>15</v>
      </c>
      <c r="O2" s="15" t="n">
        <f aca="false">Nepřátelé!$F$13</f>
        <v>18</v>
      </c>
      <c r="P2" s="15" t="n">
        <f aca="false">Nepřátelé!$F$14</f>
        <v>4</v>
      </c>
      <c r="Q2" s="15" t="n">
        <f aca="false">Nepřátelé!$F$15</f>
        <v>8</v>
      </c>
      <c r="R2" s="15" t="n">
        <f aca="false">Nepřátelé!$F$16</f>
        <v>10</v>
      </c>
      <c r="S2" s="15" t="n">
        <f aca="false">Nepřátelé!$F$22</f>
        <v>7</v>
      </c>
      <c r="T2" s="15" t="n">
        <f aca="false">Nepřátelé!$F$24</f>
        <v>13</v>
      </c>
      <c r="U2" s="15" t="n">
        <f aca="false">Nepřátelé!$F$29</f>
        <v>18</v>
      </c>
      <c r="V2" s="15" t="n">
        <f aca="false">Nepřátelé!$F$33</f>
        <v>26</v>
      </c>
    </row>
    <row r="3" customFormat="false" ht="120" hidden="false" customHeight="true" outlineLevel="0" collapsed="false">
      <c r="A3" s="3" t="s">
        <v>265</v>
      </c>
      <c r="B3" s="3" t="s">
        <v>317</v>
      </c>
      <c r="C3" s="3" t="s">
        <v>318</v>
      </c>
      <c r="D3" s="16" t="s">
        <v>179</v>
      </c>
      <c r="E3" s="16" t="s">
        <v>182</v>
      </c>
      <c r="F3" s="16" t="s">
        <v>186</v>
      </c>
      <c r="G3" s="16" t="s">
        <v>188</v>
      </c>
      <c r="H3" s="16" t="s">
        <v>190</v>
      </c>
      <c r="I3" s="16" t="s">
        <v>194</v>
      </c>
      <c r="J3" s="16" t="s">
        <v>197</v>
      </c>
      <c r="K3" s="16" t="s">
        <v>200</v>
      </c>
      <c r="L3" s="16" t="s">
        <v>203</v>
      </c>
      <c r="M3" s="16" t="s">
        <v>206</v>
      </c>
      <c r="N3" s="16" t="s">
        <v>208</v>
      </c>
      <c r="O3" s="16" t="s">
        <v>211</v>
      </c>
      <c r="P3" s="16" t="s">
        <v>215</v>
      </c>
      <c r="Q3" s="16" t="s">
        <v>217</v>
      </c>
      <c r="R3" s="16" t="s">
        <v>220</v>
      </c>
      <c r="S3" s="16" t="s">
        <v>233</v>
      </c>
      <c r="T3" s="16" t="s">
        <v>237</v>
      </c>
      <c r="U3" s="16" t="s">
        <v>248</v>
      </c>
      <c r="V3" s="16" t="s">
        <v>258</v>
      </c>
      <c r="W3" s="3" t="s">
        <v>319</v>
      </c>
      <c r="X3" s="3" t="s">
        <v>320</v>
      </c>
      <c r="Y3" s="3" t="s">
        <v>321</v>
      </c>
      <c r="Z3" s="3" t="s">
        <v>322</v>
      </c>
      <c r="AA3" s="3" t="s">
        <v>323</v>
      </c>
      <c r="AB3" s="3" t="s">
        <v>324</v>
      </c>
      <c r="AC3" s="3" t="s">
        <v>325</v>
      </c>
      <c r="AD3" s="3" t="s">
        <v>326</v>
      </c>
      <c r="AE3" s="3" t="s">
        <v>327</v>
      </c>
      <c r="AF3" s="3" t="s">
        <v>328</v>
      </c>
      <c r="AG3" s="3" t="s">
        <v>329</v>
      </c>
      <c r="AH3" s="3" t="s">
        <v>264</v>
      </c>
    </row>
    <row r="4" customFormat="false" ht="15" hidden="false" customHeight="false" outlineLevel="0" collapsed="false">
      <c r="A4" s="4" t="n">
        <v>1</v>
      </c>
      <c r="B4" s="17" t="n">
        <f aca="false">Parametry!$B$6^(A4-1)</f>
        <v>1</v>
      </c>
      <c r="C4" s="17" t="n">
        <f aca="false">Parametry!$B$7^(A4-1)</f>
        <v>1</v>
      </c>
      <c r="D4" s="4" t="n">
        <f aca="false">IF($A4&gt;=D$2,ROUND(D$1*Parametry!$B$7^($A4-D$2),0),0)</f>
        <v>6</v>
      </c>
      <c r="E4" s="4" t="n">
        <f aca="false">IF($A4&gt;=E$2,ROUND(E$1*Parametry!$B$7^($A4-E$2),0),0)</f>
        <v>0</v>
      </c>
      <c r="F4" s="4" t="n">
        <f aca="false">IF($A4&gt;=F$2,ROUND(F$1*Parametry!$B$7^($A4-F$2),0),0)</f>
        <v>0</v>
      </c>
      <c r="G4" s="4" t="n">
        <f aca="false">IF($A4&gt;=G$2,ROUND(G$1*Parametry!$B$7^($A4-G$2),0),0)</f>
        <v>0</v>
      </c>
      <c r="H4" s="4" t="n">
        <f aca="false">IF($A4&gt;=H$2,ROUND(H$1*Parametry!$B$7^($A4-H$2),0),0)</f>
        <v>0</v>
      </c>
      <c r="I4" s="4" t="n">
        <f aca="false">IF($A4&gt;=I$2,ROUND(I$1*Parametry!$B$7^($A4-I$2),0),0)</f>
        <v>0</v>
      </c>
      <c r="J4" s="4" t="n">
        <f aca="false">IF($A4&gt;=J$2,ROUND(J$1*Parametry!$B$7^($A4-J$2),0),0)</f>
        <v>0</v>
      </c>
      <c r="K4" s="4" t="n">
        <f aca="false">IF($A4&gt;=K$2,ROUND(K$1*Parametry!$B$7^($A4-K$2),0),0)</f>
        <v>0</v>
      </c>
      <c r="L4" s="4" t="n">
        <f aca="false">IF($A4&gt;=L$2,ROUND(L$1*Parametry!$B$7^($A4-L$2),0),0)</f>
        <v>0</v>
      </c>
      <c r="M4" s="4" t="n">
        <f aca="false">IF($A4&gt;=M$2,ROUND(M$1*Parametry!$B$7^($A4-M$2),0),0)</f>
        <v>0</v>
      </c>
      <c r="N4" s="4" t="n">
        <f aca="false">IF($A4&gt;=N$2,ROUND(N$1*Parametry!$B$7^($A4-N$2),0),0)</f>
        <v>0</v>
      </c>
      <c r="O4" s="4" t="n">
        <f aca="false">IF($A4&gt;=O$2,ROUND(O$1*Parametry!$B$7^($A4-O$2),0),0)</f>
        <v>0</v>
      </c>
      <c r="P4" s="4" t="n">
        <f aca="false">IF($A4&gt;=P$2,ROUND(P$1*Parametry!$B$7^($A4-P$2),0),0)</f>
        <v>0</v>
      </c>
      <c r="Q4" s="4" t="n">
        <f aca="false">IF($A4&gt;=Q$2,ROUND(Q$1*Parametry!$B$7^($A4-Q$2),0),0)</f>
        <v>0</v>
      </c>
      <c r="R4" s="4" t="n">
        <f aca="false">IF($A4&gt;=R$2,ROUND(R$1*Parametry!$B$7^($A4-R$2),0),0)</f>
        <v>0</v>
      </c>
      <c r="S4" s="4" t="n">
        <f aca="false">IF($A4&gt;=S$2,ROUND(S$1*Parametry!$B$7^($A4-S$2),0),0)</f>
        <v>0</v>
      </c>
      <c r="T4" s="4" t="n">
        <f aca="false">IF($A4&gt;=T$2,ROUND(T$1*Parametry!$B$7^($A4-T$2),0),0)</f>
        <v>0</v>
      </c>
      <c r="U4" s="4" t="n">
        <f aca="false">IF($A4&gt;=U$2,ROUND(U$1*Parametry!$B$7^($A4-U$2),0),0)</f>
        <v>0</v>
      </c>
      <c r="V4" s="4" t="n">
        <f aca="false">IF($A4&gt;=V$2,ROUND(V$1*Parametry!$B$7^($A4-V$2),0),0)</f>
        <v>0</v>
      </c>
      <c r="W4" s="4" t="n">
        <f aca="false">SUM(D4:V4)</f>
        <v>6</v>
      </c>
      <c r="X4" s="18" t="n">
        <f aca="false">(D4*Nepřátelé!$B$2+E4*Nepřátelé!$B$3+F4*Nepřátelé!$B$4+G4*Nepřátelé!$B$5+H4*Nepřátelé!$B$6+I4*Nepřátelé!$B$7+J4*Nepřátelé!$B$8+K4*Nepřátelé!$B$9+L4*Nepřátelé!$B$10+M4*Nepřátelé!$B$11+N4*Nepřátelé!$B$12+O4*Nepřátelé!$B$13+P4*Nepřátelé!$B$14+Q4*Nepřátelé!$B$15+R4*Nepřátelé!$B$16+S4*Nepřátelé!$B$22+T4*Nepřátelé!$B$24+U4*Nepřátelé!$B$29+V4*Nepřátelé!$B$33)*B4</f>
        <v>180</v>
      </c>
      <c r="Y4" s="18" t="n">
        <f aca="false">(D4*Nepřátelé!$C$2+E4*Nepřátelé!$C$3+F4*Nepřátelé!$C$4+G4*Nepřátelé!$C$5+H4*Nepřátelé!$C$6+I4*Nepřátelé!$C$7+J4*Nepřátelé!$C$8+K4*Nepřátelé!$C$9+L4*Nepřátelé!$C$10+M4*Nepřátelé!$C$11+N4*Nepřátelé!$C$12+O4*Nepřátelé!$C$13+P4*Nepřátelé!$C$14+Q4*Nepřátelé!$C$15+R4*Nepřátelé!$C$16+S4*Nepřátelé!$C$22+T4*Nepřátelé!$C$24+U4*Nepřátelé!$C$29+V4*Nepřátelé!$C$33)</f>
        <v>24</v>
      </c>
      <c r="Z4" s="18" t="n">
        <f aca="false">(D4*Nepřátelé!$E$2+E4*Nepřátelé!$E$3+F4*Nepřátelé!$E$4+G4*Nepřátelé!$E$5+H4*Nepřátelé!$E$6+I4*Nepřátelé!$E$7+J4*Nepřátelé!$E$8+K4*Nepřátelé!$E$9+L4*Nepřátelé!$E$10+M4*Nepřátelé!$E$11+N4*Nepřátelé!$E$12+O4*Nepřátelé!$E$13+P4*Nepřátelé!$E$14+Q4*Nepřátelé!$E$15+R4*Nepřátelé!$E$16+S4*Nepřátelé!$E$22+T4*Nepřátelé!$E$24+U4*Nepřátelé!$E$29+V4*Nepřátelé!$E$33)*B4^Parametry!$B$12</f>
        <v>30</v>
      </c>
      <c r="AA4" s="18" t="n">
        <f aca="false">Parametry!$B$14+Parametry!$B$15*A4</f>
        <v>25</v>
      </c>
      <c r="AB4" s="18" t="n">
        <f aca="false">Parametry!$B$13+Z4+AA4</f>
        <v>255</v>
      </c>
      <c r="AC4" s="18" t="n">
        <f aca="false">X4/Parametry!$B$8</f>
        <v>4</v>
      </c>
      <c r="AD4" s="18" t="n">
        <f aca="false">AC4*Parametry!$B$10</f>
        <v>2.8</v>
      </c>
      <c r="AE4" s="18" t="n">
        <f aca="false">Parametry!$B$13*Parametry!$B$16*Zbraně!$B$40*Parametry!$B$11</f>
        <v>9.31834032634033</v>
      </c>
      <c r="AF4" s="17" t="n">
        <f aca="false">IF(AD4=0,0,AE4/AD4)</f>
        <v>3.32797868797869</v>
      </c>
      <c r="AG4" s="4" t="str">
        <f aca="false">IF(AF4&lt;0.8,"TĚŽKÁ",IF(AF4&gt;2,"LEHKÁ","OK"))</f>
        <v>LEHKÁ</v>
      </c>
      <c r="AH4" s="7"/>
    </row>
    <row r="5" customFormat="false" ht="15" hidden="false" customHeight="false" outlineLevel="0" collapsed="false">
      <c r="A5" s="4" t="n">
        <v>2</v>
      </c>
      <c r="B5" s="17" t="n">
        <f aca="false">Parametry!$B$6^(A5-1)</f>
        <v>1.15</v>
      </c>
      <c r="C5" s="17" t="n">
        <f aca="false">Parametry!$B$7^(A5-1)</f>
        <v>1.08</v>
      </c>
      <c r="D5" s="4" t="n">
        <f aca="false">IF($A5&gt;=D$2,ROUND(D$1*Parametry!$B$7^($A5-D$2),0),0)</f>
        <v>6</v>
      </c>
      <c r="E5" s="4" t="n">
        <f aca="false">IF($A5&gt;=E$2,ROUND(E$1*Parametry!$B$7^($A5-E$2),0),0)</f>
        <v>0</v>
      </c>
      <c r="F5" s="4" t="n">
        <f aca="false">IF($A5&gt;=F$2,ROUND(F$1*Parametry!$B$7^($A5-F$2),0),0)</f>
        <v>0</v>
      </c>
      <c r="G5" s="4" t="n">
        <f aca="false">IF($A5&gt;=G$2,ROUND(G$1*Parametry!$B$7^($A5-G$2),0),0)</f>
        <v>0</v>
      </c>
      <c r="H5" s="4" t="n">
        <f aca="false">IF($A5&gt;=H$2,ROUND(H$1*Parametry!$B$7^($A5-H$2),0),0)</f>
        <v>0</v>
      </c>
      <c r="I5" s="4" t="n">
        <f aca="false">IF($A5&gt;=I$2,ROUND(I$1*Parametry!$B$7^($A5-I$2),0),0)</f>
        <v>0</v>
      </c>
      <c r="J5" s="4" t="n">
        <f aca="false">IF($A5&gt;=J$2,ROUND(J$1*Parametry!$B$7^($A5-J$2),0),0)</f>
        <v>0</v>
      </c>
      <c r="K5" s="4" t="n">
        <f aca="false">IF($A5&gt;=K$2,ROUND(K$1*Parametry!$B$7^($A5-K$2),0),0)</f>
        <v>0</v>
      </c>
      <c r="L5" s="4" t="n">
        <f aca="false">IF($A5&gt;=L$2,ROUND(L$1*Parametry!$B$7^($A5-L$2),0),0)</f>
        <v>0</v>
      </c>
      <c r="M5" s="4" t="n">
        <f aca="false">IF($A5&gt;=M$2,ROUND(M$1*Parametry!$B$7^($A5-M$2),0),0)</f>
        <v>0</v>
      </c>
      <c r="N5" s="4" t="n">
        <f aca="false">IF($A5&gt;=N$2,ROUND(N$1*Parametry!$B$7^($A5-N$2),0),0)</f>
        <v>0</v>
      </c>
      <c r="O5" s="4" t="n">
        <f aca="false">IF($A5&gt;=O$2,ROUND(O$1*Parametry!$B$7^($A5-O$2),0),0)</f>
        <v>0</v>
      </c>
      <c r="P5" s="4" t="n">
        <f aca="false">IF($A5&gt;=P$2,ROUND(P$1*Parametry!$B$7^($A5-P$2),0),0)</f>
        <v>0</v>
      </c>
      <c r="Q5" s="4" t="n">
        <f aca="false">IF($A5&gt;=Q$2,ROUND(Q$1*Parametry!$B$7^($A5-Q$2),0),0)</f>
        <v>0</v>
      </c>
      <c r="R5" s="4" t="n">
        <f aca="false">IF($A5&gt;=R$2,ROUND(R$1*Parametry!$B$7^($A5-R$2),0),0)</f>
        <v>0</v>
      </c>
      <c r="S5" s="4" t="n">
        <f aca="false">IF($A5&gt;=S$2,ROUND(S$1*Parametry!$B$7^($A5-S$2),0),0)</f>
        <v>0</v>
      </c>
      <c r="T5" s="4" t="n">
        <f aca="false">IF($A5&gt;=T$2,ROUND(T$1*Parametry!$B$7^($A5-T$2),0),0)</f>
        <v>0</v>
      </c>
      <c r="U5" s="4" t="n">
        <f aca="false">IF($A5&gt;=U$2,ROUND(U$1*Parametry!$B$7^($A5-U$2),0),0)</f>
        <v>0</v>
      </c>
      <c r="V5" s="4" t="n">
        <f aca="false">IF($A5&gt;=V$2,ROUND(V$1*Parametry!$B$7^($A5-V$2),0),0)</f>
        <v>0</v>
      </c>
      <c r="W5" s="4" t="n">
        <f aca="false">SUM(D5:V5)</f>
        <v>6</v>
      </c>
      <c r="X5" s="18" t="n">
        <f aca="false">(D5*Nepřátelé!$B$2+E5*Nepřátelé!$B$3+F5*Nepřátelé!$B$4+G5*Nepřátelé!$B$5+H5*Nepřátelé!$B$6+I5*Nepřátelé!$B$7+J5*Nepřátelé!$B$8+K5*Nepřátelé!$B$9+L5*Nepřátelé!$B$10+M5*Nepřátelé!$B$11+N5*Nepřátelé!$B$12+O5*Nepřátelé!$B$13+P5*Nepřátelé!$B$14+Q5*Nepřátelé!$B$15+R5*Nepřátelé!$B$16+S5*Nepřátelé!$B$22+T5*Nepřátelé!$B$24+U5*Nepřátelé!$B$29+V5*Nepřátelé!$B$33)*B5</f>
        <v>207</v>
      </c>
      <c r="Y5" s="18" t="n">
        <f aca="false">(D5*Nepřátelé!$C$2+E5*Nepřátelé!$C$3+F5*Nepřátelé!$C$4+G5*Nepřátelé!$C$5+H5*Nepřátelé!$C$6+I5*Nepřátelé!$C$7+J5*Nepřátelé!$C$8+K5*Nepřátelé!$C$9+L5*Nepřátelé!$C$10+M5*Nepřátelé!$C$11+N5*Nepřátelé!$C$12+O5*Nepřátelé!$C$13+P5*Nepřátelé!$C$14+Q5*Nepřátelé!$C$15+R5*Nepřátelé!$C$16+S5*Nepřátelé!$C$22+T5*Nepřátelé!$C$24+U5*Nepřátelé!$C$29+V5*Nepřátelé!$C$33)</f>
        <v>24</v>
      </c>
      <c r="Z5" s="18" t="n">
        <f aca="false">(D5*Nepřátelé!$E$2+E5*Nepřátelé!$E$3+F5*Nepřátelé!$E$4+G5*Nepřátelé!$E$5+H5*Nepřátelé!$E$6+I5*Nepřátelé!$E$7+J5*Nepřátelé!$E$8+K5*Nepřátelé!$E$9+L5*Nepřátelé!$E$10+M5*Nepřátelé!$E$11+N5*Nepřátelé!$E$12+O5*Nepřátelé!$E$13+P5*Nepřátelé!$E$14+Q5*Nepřátelé!$E$15+R5*Nepřátelé!$E$16+S5*Nepřátelé!$E$22+T5*Nepřátelé!$E$24+U5*Nepřátelé!$E$29+V5*Nepřátelé!$E$33)*B5^Parametry!$B$12</f>
        <v>33.0833700699332</v>
      </c>
      <c r="AA5" s="18" t="n">
        <f aca="false">Parametry!$B$14+Parametry!$B$15*A5</f>
        <v>30</v>
      </c>
      <c r="AB5" s="18" t="n">
        <f aca="false">AB4+Z5+AA5</f>
        <v>318.083370069933</v>
      </c>
      <c r="AC5" s="18" t="n">
        <f aca="false">X5/Parametry!$B$8</f>
        <v>4.6</v>
      </c>
      <c r="AD5" s="18" t="n">
        <f aca="false">AC5*Parametry!$B$10</f>
        <v>3.22</v>
      </c>
      <c r="AE5" s="18" t="n">
        <f aca="false">AB4*Parametry!$B$16*Zbraně!$B$40*Parametry!$B$11</f>
        <v>11.8808839160839</v>
      </c>
      <c r="AF5" s="17" t="n">
        <f aca="false">IF(AD5=0,0,AE5/AD5)</f>
        <v>3.68971550188942</v>
      </c>
      <c r="AG5" s="4" t="str">
        <f aca="false">IF(AF5&lt;0.8,"TĚŽKÁ",IF(AF5&gt;2,"LEHKÁ","OK"))</f>
        <v>LEHKÁ</v>
      </c>
      <c r="AH5" s="7"/>
    </row>
    <row r="6" customFormat="false" ht="15" hidden="false" customHeight="false" outlineLevel="0" collapsed="false">
      <c r="A6" s="4" t="n">
        <v>3</v>
      </c>
      <c r="B6" s="17" t="n">
        <f aca="false">Parametry!$B$6^(A6-1)</f>
        <v>1.3225</v>
      </c>
      <c r="C6" s="17" t="n">
        <f aca="false">Parametry!$B$7^(A6-1)</f>
        <v>1.1664</v>
      </c>
      <c r="D6" s="4" t="n">
        <f aca="false">IF($A6&gt;=D$2,ROUND(D$1*Parametry!$B$7^($A6-D$2),0),0)</f>
        <v>7</v>
      </c>
      <c r="E6" s="4" t="n">
        <f aca="false">IF($A6&gt;=E$2,ROUND(E$1*Parametry!$B$7^($A6-E$2),0),0)</f>
        <v>3</v>
      </c>
      <c r="F6" s="4" t="n">
        <f aca="false">IF($A6&gt;=F$2,ROUND(F$1*Parametry!$B$7^($A6-F$2),0),0)</f>
        <v>2</v>
      </c>
      <c r="G6" s="4" t="n">
        <f aca="false">IF($A6&gt;=G$2,ROUND(G$1*Parametry!$B$7^($A6-G$2),0),0)</f>
        <v>0</v>
      </c>
      <c r="H6" s="4" t="n">
        <f aca="false">IF($A6&gt;=H$2,ROUND(H$1*Parametry!$B$7^($A6-H$2),0),0)</f>
        <v>0</v>
      </c>
      <c r="I6" s="4" t="n">
        <f aca="false">IF($A6&gt;=I$2,ROUND(I$1*Parametry!$B$7^($A6-I$2),0),0)</f>
        <v>0</v>
      </c>
      <c r="J6" s="4" t="n">
        <f aca="false">IF($A6&gt;=J$2,ROUND(J$1*Parametry!$B$7^($A6-J$2),0),0)</f>
        <v>0</v>
      </c>
      <c r="K6" s="4" t="n">
        <f aca="false">IF($A6&gt;=K$2,ROUND(K$1*Parametry!$B$7^($A6-K$2),0),0)</f>
        <v>0</v>
      </c>
      <c r="L6" s="4" t="n">
        <f aca="false">IF($A6&gt;=L$2,ROUND(L$1*Parametry!$B$7^($A6-L$2),0),0)</f>
        <v>0</v>
      </c>
      <c r="M6" s="4" t="n">
        <f aca="false">IF($A6&gt;=M$2,ROUND(M$1*Parametry!$B$7^($A6-M$2),0),0)</f>
        <v>0</v>
      </c>
      <c r="N6" s="4" t="n">
        <f aca="false">IF($A6&gt;=N$2,ROUND(N$1*Parametry!$B$7^($A6-N$2),0),0)</f>
        <v>0</v>
      </c>
      <c r="O6" s="4" t="n">
        <f aca="false">IF($A6&gt;=O$2,ROUND(O$1*Parametry!$B$7^($A6-O$2),0),0)</f>
        <v>0</v>
      </c>
      <c r="P6" s="4" t="n">
        <f aca="false">IF($A6&gt;=P$2,ROUND(P$1*Parametry!$B$7^($A6-P$2),0),0)</f>
        <v>0</v>
      </c>
      <c r="Q6" s="4" t="n">
        <f aca="false">IF($A6&gt;=Q$2,ROUND(Q$1*Parametry!$B$7^($A6-Q$2),0),0)</f>
        <v>0</v>
      </c>
      <c r="R6" s="4" t="n">
        <f aca="false">IF($A6&gt;=R$2,ROUND(R$1*Parametry!$B$7^($A6-R$2),0),0)</f>
        <v>0</v>
      </c>
      <c r="S6" s="4" t="n">
        <f aca="false">IF($A6&gt;=S$2,ROUND(S$1*Parametry!$B$7^($A6-S$2),0),0)</f>
        <v>0</v>
      </c>
      <c r="T6" s="4" t="n">
        <f aca="false">IF($A6&gt;=T$2,ROUND(T$1*Parametry!$B$7^($A6-T$2),0),0)</f>
        <v>0</v>
      </c>
      <c r="U6" s="4" t="n">
        <f aca="false">IF($A6&gt;=U$2,ROUND(U$1*Parametry!$B$7^($A6-U$2),0),0)</f>
        <v>0</v>
      </c>
      <c r="V6" s="4" t="n">
        <f aca="false">IF($A6&gt;=V$2,ROUND(V$1*Parametry!$B$7^($A6-V$2),0),0)</f>
        <v>0</v>
      </c>
      <c r="W6" s="4" t="n">
        <f aca="false">SUM(D6:V6)</f>
        <v>12</v>
      </c>
      <c r="X6" s="18" t="n">
        <f aca="false">(D6*Nepřátelé!$B$2+E6*Nepřátelé!$B$3+F6*Nepřátelé!$B$4+G6*Nepřátelé!$B$5+H6*Nepřátelé!$B$6+I6*Nepřátelé!$B$7+J6*Nepřátelé!$B$8+K6*Nepřátelé!$B$9+L6*Nepřátelé!$B$10+M6*Nepřátelé!$B$11+N6*Nepřátelé!$B$12+O6*Nepřátelé!$B$13+P6*Nepřátelé!$B$14+Q6*Nepřátelé!$B$15+R6*Nepřátelé!$B$16+S6*Nepřátelé!$B$22+T6*Nepřátelé!$B$24+U6*Nepřátelé!$B$29+V6*Nepřátelé!$B$33)*B6</f>
        <v>548.8375</v>
      </c>
      <c r="Y6" s="18" t="n">
        <f aca="false">(D6*Nepřátelé!$C$2+E6*Nepřátelé!$C$3+F6*Nepřátelé!$C$4+G6*Nepřátelé!$C$5+H6*Nepřátelé!$C$6+I6*Nepřátelé!$C$7+J6*Nepřátelé!$C$8+K6*Nepřátelé!$C$9+L6*Nepřátelé!$C$10+M6*Nepřátelé!$C$11+N6*Nepřátelé!$C$12+O6*Nepřátelé!$C$13+P6*Nepřátelé!$C$14+Q6*Nepřátelé!$C$15+R6*Nepřátelé!$C$16+S6*Nepřátelé!$C$22+T6*Nepřátelé!$C$24+U6*Nepřátelé!$C$29+V6*Nepřátelé!$C$33)</f>
        <v>67</v>
      </c>
      <c r="Z6" s="18" t="n">
        <f aca="false">(D6*Nepřátelé!$E$2+E6*Nepřátelé!$E$3+F6*Nepřátelé!$E$4+G6*Nepřátelé!$E$5+H6*Nepřátelé!$E$6+I6*Nepřátelé!$E$7+J6*Nepřátelé!$E$8+K6*Nepřátelé!$E$9+L6*Nepřátelé!$E$10+M6*Nepřátelé!$E$11+N6*Nepřátelé!$E$12+O6*Nepřátelé!$E$13+P6*Nepřátelé!$E$14+Q6*Nepřátelé!$E$15+R6*Nepřátelé!$E$16+S6*Nepřátelé!$E$22+T6*Nepřátelé!$E$24+U6*Nepřátelé!$E$29+V6*Nepřátelé!$E$33)*B6^Parametry!$B$12</f>
        <v>86.3446284867498</v>
      </c>
      <c r="AA6" s="18" t="n">
        <f aca="false">Parametry!$B$14+Parametry!$B$15*A6</f>
        <v>35</v>
      </c>
      <c r="AB6" s="18" t="n">
        <f aca="false">AB5+Z6+AA6</f>
        <v>439.427998556683</v>
      </c>
      <c r="AC6" s="18" t="n">
        <f aca="false">X6/Parametry!$B$8</f>
        <v>12.1963888888889</v>
      </c>
      <c r="AD6" s="18" t="n">
        <f aca="false">AC6*Parametry!$B$10</f>
        <v>8.53747222222222</v>
      </c>
      <c r="AE6" s="18" t="n">
        <f aca="false">AB5*Parametry!$B$16*Zbraně!$B$40*Parametry!$B$11</f>
        <v>14.8200454723045</v>
      </c>
      <c r="AF6" s="17" t="n">
        <f aca="false">IF(AD6=0,0,AE6/AD6)</f>
        <v>1.735882130747</v>
      </c>
      <c r="AG6" s="4" t="str">
        <f aca="false">IF(AF6&lt;0.8,"TĚŽKÁ",IF(AF6&gt;2,"LEHKÁ","OK"))</f>
        <v>OK</v>
      </c>
      <c r="AH6" s="7"/>
    </row>
    <row r="7" customFormat="false" ht="15" hidden="false" customHeight="false" outlineLevel="0" collapsed="false">
      <c r="A7" s="4" t="n">
        <v>4</v>
      </c>
      <c r="B7" s="17" t="n">
        <f aca="false">Parametry!$B$6^(A7-1)</f>
        <v>1.520875</v>
      </c>
      <c r="C7" s="17" t="n">
        <f aca="false">Parametry!$B$7^(A7-1)</f>
        <v>1.259712</v>
      </c>
      <c r="D7" s="4" t="n">
        <f aca="false">IF($A7&gt;=D$2,ROUND(D$1*Parametry!$B$7^($A7-D$2),0),0)</f>
        <v>8</v>
      </c>
      <c r="E7" s="4" t="n">
        <f aca="false">IF($A7&gt;=E$2,ROUND(E$1*Parametry!$B$7^($A7-E$2),0),0)</f>
        <v>3</v>
      </c>
      <c r="F7" s="4" t="n">
        <f aca="false">IF($A7&gt;=F$2,ROUND(F$1*Parametry!$B$7^($A7-F$2),0),0)</f>
        <v>2</v>
      </c>
      <c r="G7" s="4" t="n">
        <f aca="false">IF($A7&gt;=G$2,ROUND(G$1*Parametry!$B$7^($A7-G$2),0),0)</f>
        <v>0</v>
      </c>
      <c r="H7" s="4" t="n">
        <f aca="false">IF($A7&gt;=H$2,ROUND(H$1*Parametry!$B$7^($A7-H$2),0),0)</f>
        <v>0</v>
      </c>
      <c r="I7" s="4" t="n">
        <f aca="false">IF($A7&gt;=I$2,ROUND(I$1*Parametry!$B$7^($A7-I$2),0),0)</f>
        <v>0</v>
      </c>
      <c r="J7" s="4" t="n">
        <f aca="false">IF($A7&gt;=J$2,ROUND(J$1*Parametry!$B$7^($A7-J$2),0),0)</f>
        <v>0</v>
      </c>
      <c r="K7" s="4" t="n">
        <f aca="false">IF($A7&gt;=K$2,ROUND(K$1*Parametry!$B$7^($A7-K$2),0),0)</f>
        <v>0</v>
      </c>
      <c r="L7" s="4" t="n">
        <f aca="false">IF($A7&gt;=L$2,ROUND(L$1*Parametry!$B$7^($A7-L$2),0),0)</f>
        <v>0</v>
      </c>
      <c r="M7" s="4" t="n">
        <f aca="false">IF($A7&gt;=M$2,ROUND(M$1*Parametry!$B$7^($A7-M$2),0),0)</f>
        <v>0</v>
      </c>
      <c r="N7" s="4" t="n">
        <f aca="false">IF($A7&gt;=N$2,ROUND(N$1*Parametry!$B$7^($A7-N$2),0),0)</f>
        <v>0</v>
      </c>
      <c r="O7" s="4" t="n">
        <f aca="false">IF($A7&gt;=O$2,ROUND(O$1*Parametry!$B$7^($A7-O$2),0),0)</f>
        <v>0</v>
      </c>
      <c r="P7" s="4" t="n">
        <f aca="false">IF($A7&gt;=P$2,ROUND(P$1*Parametry!$B$7^($A7-P$2),0),0)</f>
        <v>2</v>
      </c>
      <c r="Q7" s="4" t="n">
        <f aca="false">IF($A7&gt;=Q$2,ROUND(Q$1*Parametry!$B$7^($A7-Q$2),0),0)</f>
        <v>0</v>
      </c>
      <c r="R7" s="4" t="n">
        <f aca="false">IF($A7&gt;=R$2,ROUND(R$1*Parametry!$B$7^($A7-R$2),0),0)</f>
        <v>0</v>
      </c>
      <c r="S7" s="4" t="n">
        <f aca="false">IF($A7&gt;=S$2,ROUND(S$1*Parametry!$B$7^($A7-S$2),0),0)</f>
        <v>0</v>
      </c>
      <c r="T7" s="4" t="n">
        <f aca="false">IF($A7&gt;=T$2,ROUND(T$1*Parametry!$B$7^($A7-T$2),0),0)</f>
        <v>0</v>
      </c>
      <c r="U7" s="4" t="n">
        <f aca="false">IF($A7&gt;=U$2,ROUND(U$1*Parametry!$B$7^($A7-U$2),0),0)</f>
        <v>0</v>
      </c>
      <c r="V7" s="4" t="n">
        <f aca="false">IF($A7&gt;=V$2,ROUND(V$1*Parametry!$B$7^($A7-V$2),0),0)</f>
        <v>0</v>
      </c>
      <c r="W7" s="4" t="n">
        <f aca="false">SUM(D7:V7)</f>
        <v>15</v>
      </c>
      <c r="X7" s="18" t="n">
        <f aca="false">(D7*Nepřátelé!$B$2+E7*Nepřátelé!$B$3+F7*Nepřátelé!$B$4+G7*Nepřátelé!$B$5+H7*Nepřátelé!$B$6+I7*Nepřátelé!$B$7+J7*Nepřátelé!$B$8+K7*Nepřátelé!$B$9+L7*Nepřátelé!$B$10+M7*Nepřátelé!$B$11+N7*Nepřátelé!$B$12+O7*Nepřátelé!$B$13+P7*Nepřátelé!$B$14+Q7*Nepřátelé!$B$15+R7*Nepřátelé!$B$16+S7*Nepřátelé!$B$22+T7*Nepřátelé!$B$24+U7*Nepřátelé!$B$29+V7*Nepřátelé!$B$33)*B7</f>
        <v>859.294375</v>
      </c>
      <c r="Y7" s="18" t="n">
        <f aca="false">(D7*Nepřátelé!$C$2+E7*Nepřátelé!$C$3+F7*Nepřátelé!$C$4+G7*Nepřátelé!$C$5+H7*Nepřátelé!$C$6+I7*Nepřátelé!$C$7+J7*Nepřátelé!$C$8+K7*Nepřátelé!$C$9+L7*Nepřátelé!$C$10+M7*Nepřátelé!$C$11+N7*Nepřátelé!$C$12+O7*Nepřátelé!$C$13+P7*Nepřátelé!$C$14+Q7*Nepřátelé!$C$15+R7*Nepřátelé!$C$16+S7*Nepřátelé!$C$22+T7*Nepřátelé!$C$24+U7*Nepřátelé!$C$29+V7*Nepřátelé!$C$33)</f>
        <v>79</v>
      </c>
      <c r="Z7" s="18" t="n">
        <f aca="false">(D7*Nepřátelé!$E$2+E7*Nepřátelé!$E$3+F7*Nepřátelé!$E$4+G7*Nepřátelé!$E$5+H7*Nepřátelé!$E$6+I7*Nepřátelé!$E$7+J7*Nepřátelé!$E$8+K7*Nepřátelé!$E$9+L7*Nepřátelé!$E$10+M7*Nepřátelé!$E$11+N7*Nepřátelé!$E$12+O7*Nepřátelé!$E$13+P7*Nepřátelé!$E$14+Q7*Nepřátelé!$E$15+R7*Nepřátelé!$E$16+S7*Nepřátelé!$E$22+T7*Nepřátelé!$E$24+U7*Nepřátelé!$E$29+V7*Nepřátelé!$E$33)*B7^Parametry!$B$12</f>
        <v>123.382422251446</v>
      </c>
      <c r="AA7" s="18" t="n">
        <f aca="false">Parametry!$B$14+Parametry!$B$15*A7</f>
        <v>40</v>
      </c>
      <c r="AB7" s="18" t="n">
        <f aca="false">AB6+Z7+AA7</f>
        <v>602.810420808129</v>
      </c>
      <c r="AC7" s="18" t="n">
        <f aca="false">X7/Parametry!$B$8</f>
        <v>19.0954305555556</v>
      </c>
      <c r="AD7" s="18" t="n">
        <f aca="false">AC7*Parametry!$B$10</f>
        <v>13.3668013888889</v>
      </c>
      <c r="AE7" s="18" t="n">
        <f aca="false">AB6*Parametry!$B$16*Zbraně!$B$40*Parametry!$B$11</f>
        <v>20.4736981973688</v>
      </c>
      <c r="AF7" s="17" t="n">
        <f aca="false">IF(AD7=0,0,AE7/AD7)</f>
        <v>1.53168268172126</v>
      </c>
      <c r="AG7" s="4" t="str">
        <f aca="false">IF(AF7&lt;0.8,"TĚŽKÁ",IF(AF7&gt;2,"LEHKÁ","OK"))</f>
        <v>OK</v>
      </c>
      <c r="AH7" s="7"/>
    </row>
    <row r="8" customFormat="false" ht="15" hidden="false" customHeight="false" outlineLevel="0" collapsed="false">
      <c r="A8" s="4" t="n">
        <v>5</v>
      </c>
      <c r="B8" s="17" t="n">
        <f aca="false">Parametry!$B$6^(A8-1)</f>
        <v>1.74900625</v>
      </c>
      <c r="C8" s="17" t="n">
        <f aca="false">Parametry!$B$7^(A8-1)</f>
        <v>1.36048896</v>
      </c>
      <c r="D8" s="4" t="n">
        <f aca="false">IF($A8&gt;=D$2,ROUND(D$1*Parametry!$B$7^($A8-D$2),0),0)</f>
        <v>8</v>
      </c>
      <c r="E8" s="4" t="n">
        <f aca="false">IF($A8&gt;=E$2,ROUND(E$1*Parametry!$B$7^($A8-E$2),0),0)</f>
        <v>3</v>
      </c>
      <c r="F8" s="4" t="n">
        <f aca="false">IF($A8&gt;=F$2,ROUND(F$1*Parametry!$B$7^($A8-F$2),0),0)</f>
        <v>2</v>
      </c>
      <c r="G8" s="4" t="n">
        <f aca="false">IF($A8&gt;=G$2,ROUND(G$1*Parametry!$B$7^($A8-G$2),0),0)</f>
        <v>0</v>
      </c>
      <c r="H8" s="4" t="n">
        <f aca="false">IF($A8&gt;=H$2,ROUND(H$1*Parametry!$B$7^($A8-H$2),0),0)</f>
        <v>0</v>
      </c>
      <c r="I8" s="4" t="n">
        <f aca="false">IF($A8&gt;=I$2,ROUND(I$1*Parametry!$B$7^($A8-I$2),0),0)</f>
        <v>0</v>
      </c>
      <c r="J8" s="4" t="n">
        <f aca="false">IF($A8&gt;=J$2,ROUND(J$1*Parametry!$B$7^($A8-J$2),0),0)</f>
        <v>0</v>
      </c>
      <c r="K8" s="4" t="n">
        <f aca="false">IF($A8&gt;=K$2,ROUND(K$1*Parametry!$B$7^($A8-K$2),0),0)</f>
        <v>0</v>
      </c>
      <c r="L8" s="4" t="n">
        <f aca="false">IF($A8&gt;=L$2,ROUND(L$1*Parametry!$B$7^($A8-L$2),0),0)</f>
        <v>0</v>
      </c>
      <c r="M8" s="4" t="n">
        <f aca="false">IF($A8&gt;=M$2,ROUND(M$1*Parametry!$B$7^($A8-M$2),0),0)</f>
        <v>0</v>
      </c>
      <c r="N8" s="4" t="n">
        <f aca="false">IF($A8&gt;=N$2,ROUND(N$1*Parametry!$B$7^($A8-N$2),0),0)</f>
        <v>0</v>
      </c>
      <c r="O8" s="4" t="n">
        <f aca="false">IF($A8&gt;=O$2,ROUND(O$1*Parametry!$B$7^($A8-O$2),0),0)</f>
        <v>0</v>
      </c>
      <c r="P8" s="4" t="n">
        <f aca="false">IF($A8&gt;=P$2,ROUND(P$1*Parametry!$B$7^($A8-P$2),0),0)</f>
        <v>2</v>
      </c>
      <c r="Q8" s="4" t="n">
        <f aca="false">IF($A8&gt;=Q$2,ROUND(Q$1*Parametry!$B$7^($A8-Q$2),0),0)</f>
        <v>0</v>
      </c>
      <c r="R8" s="4" t="n">
        <f aca="false">IF($A8&gt;=R$2,ROUND(R$1*Parametry!$B$7^($A8-R$2),0),0)</f>
        <v>0</v>
      </c>
      <c r="S8" s="4" t="n">
        <f aca="false">IF($A8&gt;=S$2,ROUND(S$1*Parametry!$B$7^($A8-S$2),0),0)</f>
        <v>0</v>
      </c>
      <c r="T8" s="4" t="n">
        <f aca="false">IF($A8&gt;=T$2,ROUND(T$1*Parametry!$B$7^($A8-T$2),0),0)</f>
        <v>0</v>
      </c>
      <c r="U8" s="4" t="n">
        <f aca="false">IF($A8&gt;=U$2,ROUND(U$1*Parametry!$B$7^($A8-U$2),0),0)</f>
        <v>0</v>
      </c>
      <c r="V8" s="4" t="n">
        <f aca="false">IF($A8&gt;=V$2,ROUND(V$1*Parametry!$B$7^($A8-V$2),0),0)</f>
        <v>0</v>
      </c>
      <c r="W8" s="4" t="n">
        <f aca="false">SUM(D8:V8)</f>
        <v>15</v>
      </c>
      <c r="X8" s="18" t="n">
        <f aca="false">(D8*Nepřátelé!$B$2+E8*Nepřátelé!$B$3+F8*Nepřátelé!$B$4+G8*Nepřátelé!$B$5+H8*Nepřátelé!$B$6+I8*Nepřátelé!$B$7+J8*Nepřátelé!$B$8+K8*Nepřátelé!$B$9+L8*Nepřátelé!$B$10+M8*Nepřátelé!$B$11+N8*Nepřátelé!$B$12+O8*Nepřátelé!$B$13+P8*Nepřátelé!$B$14+Q8*Nepřátelé!$B$15+R8*Nepřátelé!$B$16+S8*Nepřátelé!$B$22+T8*Nepřátelé!$B$24+U8*Nepřátelé!$B$29+V8*Nepřátelé!$B$33)*B8</f>
        <v>988.18853125</v>
      </c>
      <c r="Y8" s="18" t="n">
        <f aca="false">(D8*Nepřátelé!$C$2+E8*Nepřátelé!$C$3+F8*Nepřátelé!$C$4+G8*Nepřátelé!$C$5+H8*Nepřátelé!$C$6+I8*Nepřátelé!$C$7+J8*Nepřátelé!$C$8+K8*Nepřátelé!$C$9+L8*Nepřátelé!$C$10+M8*Nepřátelé!$C$11+N8*Nepřátelé!$C$12+O8*Nepřátelé!$C$13+P8*Nepřátelé!$C$14+Q8*Nepřátelé!$C$15+R8*Nepřátelé!$C$16+S8*Nepřátelé!$C$22+T8*Nepřátelé!$C$24+U8*Nepřátelé!$C$29+V8*Nepřátelé!$C$33)</f>
        <v>79</v>
      </c>
      <c r="Z8" s="18" t="n">
        <f aca="false">(D8*Nepřátelé!$E$2+E8*Nepřátelé!$E$3+F8*Nepřátelé!$E$4+G8*Nepřátelé!$E$5+H8*Nepřátelé!$E$6+I8*Nepřátelé!$E$7+J8*Nepřátelé!$E$8+K8*Nepřátelé!$E$9+L8*Nepřátelé!$E$10+M8*Nepřátelé!$E$11+N8*Nepřátelé!$E$12+O8*Nepřátelé!$E$13+P8*Nepřátelé!$E$14+Q8*Nepřátelé!$E$15+R8*Nepřátelé!$E$16+S8*Nepřátelé!$E$22+T8*Nepřátelé!$E$24+U8*Nepřátelé!$E$29+V8*Nepřátelé!$E$33)*B8^Parametry!$B$12</f>
        <v>136.063544515645</v>
      </c>
      <c r="AA8" s="18" t="n">
        <f aca="false">Parametry!$B$14+Parametry!$B$15*A8</f>
        <v>45</v>
      </c>
      <c r="AB8" s="18" t="n">
        <f aca="false">AB7+Z8+AA8</f>
        <v>783.873965323774</v>
      </c>
      <c r="AC8" s="18" t="n">
        <f aca="false">X8/Parametry!$B$8</f>
        <v>21.9597451388889</v>
      </c>
      <c r="AD8" s="18" t="n">
        <f aca="false">AC8*Parametry!$B$10</f>
        <v>15.3718215972222</v>
      </c>
      <c r="AE8" s="18" t="n">
        <f aca="false">AB7*Parametry!$B$16*Zbraně!$B$40*Parametry!$B$11</f>
        <v>28.0859632667728</v>
      </c>
      <c r="AF8" s="17" t="n">
        <f aca="false">IF(AD8=0,0,AE8/AD8)</f>
        <v>1.82710702756583</v>
      </c>
      <c r="AG8" s="4" t="str">
        <f aca="false">IF(AF8&lt;0.8,"TĚŽKÁ",IF(AF8&gt;2,"LEHKÁ","OK"))</f>
        <v>OK</v>
      </c>
      <c r="AH8" s="7"/>
    </row>
    <row r="9" customFormat="false" ht="15" hidden="false" customHeight="false" outlineLevel="0" collapsed="false">
      <c r="A9" s="4" t="n">
        <v>6</v>
      </c>
      <c r="B9" s="17" t="n">
        <f aca="false">Parametry!$B$6^(A9-1)</f>
        <v>2.0113571875</v>
      </c>
      <c r="C9" s="17" t="n">
        <f aca="false">Parametry!$B$7^(A9-1)</f>
        <v>1.4693280768</v>
      </c>
      <c r="D9" s="4" t="n">
        <f aca="false">IF($A9&gt;=D$2,ROUND(D$1*Parametry!$B$7^($A9-D$2),0),0)</f>
        <v>9</v>
      </c>
      <c r="E9" s="4" t="n">
        <f aca="false">IF($A9&gt;=E$2,ROUND(E$1*Parametry!$B$7^($A9-E$2),0),0)</f>
        <v>4</v>
      </c>
      <c r="F9" s="4" t="n">
        <f aca="false">IF($A9&gt;=F$2,ROUND(F$1*Parametry!$B$7^($A9-F$2),0),0)</f>
        <v>3</v>
      </c>
      <c r="G9" s="4" t="n">
        <f aca="false">IF($A9&gt;=G$2,ROUND(G$1*Parametry!$B$7^($A9-G$2),0),0)</f>
        <v>2</v>
      </c>
      <c r="H9" s="4" t="n">
        <f aca="false">IF($A9&gt;=H$2,ROUND(H$1*Parametry!$B$7^($A9-H$2),0),0)</f>
        <v>2</v>
      </c>
      <c r="I9" s="4" t="n">
        <f aca="false">IF($A9&gt;=I$2,ROUND(I$1*Parametry!$B$7^($A9-I$2),0),0)</f>
        <v>0</v>
      </c>
      <c r="J9" s="4" t="n">
        <f aca="false">IF($A9&gt;=J$2,ROUND(J$1*Parametry!$B$7^($A9-J$2),0),0)</f>
        <v>0</v>
      </c>
      <c r="K9" s="4" t="n">
        <f aca="false">IF($A9&gt;=K$2,ROUND(K$1*Parametry!$B$7^($A9-K$2),0),0)</f>
        <v>0</v>
      </c>
      <c r="L9" s="4" t="n">
        <f aca="false">IF($A9&gt;=L$2,ROUND(L$1*Parametry!$B$7^($A9-L$2),0),0)</f>
        <v>0</v>
      </c>
      <c r="M9" s="4" t="n">
        <f aca="false">IF($A9&gt;=M$2,ROUND(M$1*Parametry!$B$7^($A9-M$2),0),0)</f>
        <v>0</v>
      </c>
      <c r="N9" s="4" t="n">
        <f aca="false">IF($A9&gt;=N$2,ROUND(N$1*Parametry!$B$7^($A9-N$2),0),0)</f>
        <v>0</v>
      </c>
      <c r="O9" s="4" t="n">
        <f aca="false">IF($A9&gt;=O$2,ROUND(O$1*Parametry!$B$7^($A9-O$2),0),0)</f>
        <v>0</v>
      </c>
      <c r="P9" s="4" t="n">
        <f aca="false">IF($A9&gt;=P$2,ROUND(P$1*Parametry!$B$7^($A9-P$2),0),0)</f>
        <v>2</v>
      </c>
      <c r="Q9" s="4" t="n">
        <f aca="false">IF($A9&gt;=Q$2,ROUND(Q$1*Parametry!$B$7^($A9-Q$2),0),0)</f>
        <v>0</v>
      </c>
      <c r="R9" s="4" t="n">
        <f aca="false">IF($A9&gt;=R$2,ROUND(R$1*Parametry!$B$7^($A9-R$2),0),0)</f>
        <v>0</v>
      </c>
      <c r="S9" s="4" t="n">
        <f aca="false">IF($A9&gt;=S$2,ROUND(S$1*Parametry!$B$7^($A9-S$2),0),0)</f>
        <v>0</v>
      </c>
      <c r="T9" s="4" t="n">
        <f aca="false">IF($A9&gt;=T$2,ROUND(T$1*Parametry!$B$7^($A9-T$2),0),0)</f>
        <v>0</v>
      </c>
      <c r="U9" s="4" t="n">
        <f aca="false">IF($A9&gt;=U$2,ROUND(U$1*Parametry!$B$7^($A9-U$2),0),0)</f>
        <v>0</v>
      </c>
      <c r="V9" s="4" t="n">
        <f aca="false">IF($A9&gt;=V$2,ROUND(V$1*Parametry!$B$7^($A9-V$2),0),0)</f>
        <v>0</v>
      </c>
      <c r="W9" s="4" t="n">
        <f aca="false">SUM(D9:V9)</f>
        <v>22</v>
      </c>
      <c r="X9" s="18" t="n">
        <f aca="false">(D9*Nepřátelé!$B$2+E9*Nepřátelé!$B$3+F9*Nepřátelé!$B$4+G9*Nepřátelé!$B$5+H9*Nepřátelé!$B$6+I9*Nepřátelé!$B$7+J9*Nepřátelé!$B$8+K9*Nepřátelé!$B$9+L9*Nepřátelé!$B$10+M9*Nepřátelé!$B$11+N9*Nepřátelé!$B$12+O9*Nepřátelé!$B$13+P9*Nepřátelé!$B$14+Q9*Nepřátelé!$B$15+R9*Nepřátelé!$B$16+S9*Nepřátelé!$B$22+T9*Nepřátelé!$B$24+U9*Nepřátelé!$B$29+V9*Nepřátelé!$B$33)*B9</f>
        <v>2192.379334375</v>
      </c>
      <c r="Y9" s="18" t="n">
        <f aca="false">(D9*Nepřátelé!$C$2+E9*Nepřátelé!$C$3+F9*Nepřátelé!$C$4+G9*Nepřátelé!$C$5+H9*Nepřátelé!$C$6+I9*Nepřátelé!$C$7+J9*Nepřátelé!$C$8+K9*Nepřátelé!$C$9+L9*Nepřátelé!$C$10+M9*Nepřátelé!$C$11+N9*Nepřátelé!$C$12+O9*Nepřátelé!$C$13+P9*Nepřátelé!$C$14+Q9*Nepřátelé!$C$15+R9*Nepřátelé!$C$16+S9*Nepřátelé!$C$22+T9*Nepřátelé!$C$24+U9*Nepřátelé!$C$29+V9*Nepřátelé!$C$33)</f>
        <v>127</v>
      </c>
      <c r="Z9" s="18" t="n">
        <f aca="false">(D9*Nepřátelé!$E$2+E9*Nepřátelé!$E$3+F9*Nepřátelé!$E$4+G9*Nepřátelé!$E$5+H9*Nepřátelé!$E$6+I9*Nepřátelé!$E$7+J9*Nepřátelé!$E$8+K9*Nepřátelé!$E$9+L9*Nepřátelé!$E$10+M9*Nepřátelé!$E$11+N9*Nepřátelé!$E$12+O9*Nepřátelé!$E$13+P9*Nepřátelé!$E$14+Q9*Nepřátelé!$E$15+R9*Nepřátelé!$E$16+S9*Nepřátelé!$E$22+T9*Nepřátelé!$E$24+U9*Nepřátelé!$E$29+V9*Nepřátelé!$E$33)*B9^Parametry!$B$12</f>
        <v>278.893602158219</v>
      </c>
      <c r="AA9" s="18" t="n">
        <f aca="false">Parametry!$B$14+Parametry!$B$15*A9</f>
        <v>50</v>
      </c>
      <c r="AB9" s="18" t="n">
        <f aca="false">AB8+Z9+AA9</f>
        <v>1112.76756748199</v>
      </c>
      <c r="AC9" s="18" t="n">
        <f aca="false">X9/Parametry!$B$8</f>
        <v>48.7195407638889</v>
      </c>
      <c r="AD9" s="18" t="n">
        <f aca="false">AC9*Parametry!$B$10</f>
        <v>34.1036785347222</v>
      </c>
      <c r="AE9" s="18" t="n">
        <f aca="false">AB8*Parametry!$B$16*Zbraně!$B$40*Parametry!$B$11</f>
        <v>36.5220219092241</v>
      </c>
      <c r="AF9" s="17" t="n">
        <f aca="false">IF(AD9=0,0,AE9/AD9)</f>
        <v>1.07091151096911</v>
      </c>
      <c r="AG9" s="4" t="str">
        <f aca="false">IF(AF9&lt;0.8,"TĚŽKÁ",IF(AF9&gt;2,"LEHKÁ","OK"))</f>
        <v>OK</v>
      </c>
      <c r="AH9" s="7"/>
    </row>
    <row r="10" customFormat="false" ht="15" hidden="false" customHeight="false" outlineLevel="0" collapsed="false">
      <c r="A10" s="4" t="n">
        <v>7</v>
      </c>
      <c r="B10" s="17" t="n">
        <f aca="false">Parametry!$B$6^(A10-1)</f>
        <v>2.313060765625</v>
      </c>
      <c r="C10" s="17" t="n">
        <f aca="false">Parametry!$B$7^(A10-1)</f>
        <v>1.586874322944</v>
      </c>
      <c r="D10" s="4" t="n">
        <f aca="false">IF($A10&gt;=D$2,ROUND(D$1*Parametry!$B$7^($A10-D$2),0),0)</f>
        <v>10</v>
      </c>
      <c r="E10" s="4" t="n">
        <f aca="false">IF($A10&gt;=E$2,ROUND(E$1*Parametry!$B$7^($A10-E$2),0),0)</f>
        <v>4</v>
      </c>
      <c r="F10" s="4" t="n">
        <f aca="false">IF($A10&gt;=F$2,ROUND(F$1*Parametry!$B$7^($A10-F$2),0),0)</f>
        <v>3</v>
      </c>
      <c r="G10" s="4" t="n">
        <f aca="false">IF($A10&gt;=G$2,ROUND(G$1*Parametry!$B$7^($A10-G$2),0),0)</f>
        <v>2</v>
      </c>
      <c r="H10" s="4" t="n">
        <f aca="false">IF($A10&gt;=H$2,ROUND(H$1*Parametry!$B$7^($A10-H$2),0),0)</f>
        <v>2</v>
      </c>
      <c r="I10" s="4" t="n">
        <f aca="false">IF($A10&gt;=I$2,ROUND(I$1*Parametry!$B$7^($A10-I$2),0),0)</f>
        <v>0</v>
      </c>
      <c r="J10" s="4" t="n">
        <f aca="false">IF($A10&gt;=J$2,ROUND(J$1*Parametry!$B$7^($A10-J$2),0),0)</f>
        <v>0</v>
      </c>
      <c r="K10" s="4" t="n">
        <f aca="false">IF($A10&gt;=K$2,ROUND(K$1*Parametry!$B$7^($A10-K$2),0),0)</f>
        <v>0</v>
      </c>
      <c r="L10" s="4" t="n">
        <f aca="false">IF($A10&gt;=L$2,ROUND(L$1*Parametry!$B$7^($A10-L$2),0),0)</f>
        <v>0</v>
      </c>
      <c r="M10" s="4" t="n">
        <f aca="false">IF($A10&gt;=M$2,ROUND(M$1*Parametry!$B$7^($A10-M$2),0),0)</f>
        <v>0</v>
      </c>
      <c r="N10" s="4" t="n">
        <f aca="false">IF($A10&gt;=N$2,ROUND(N$1*Parametry!$B$7^($A10-N$2),0),0)</f>
        <v>0</v>
      </c>
      <c r="O10" s="4" t="n">
        <f aca="false">IF($A10&gt;=O$2,ROUND(O$1*Parametry!$B$7^($A10-O$2),0),0)</f>
        <v>0</v>
      </c>
      <c r="P10" s="4" t="n">
        <f aca="false">IF($A10&gt;=P$2,ROUND(P$1*Parametry!$B$7^($A10-P$2),0),0)</f>
        <v>3</v>
      </c>
      <c r="Q10" s="4" t="n">
        <f aca="false">IF($A10&gt;=Q$2,ROUND(Q$1*Parametry!$B$7^($A10-Q$2),0),0)</f>
        <v>0</v>
      </c>
      <c r="R10" s="4" t="n">
        <f aca="false">IF($A10&gt;=R$2,ROUND(R$1*Parametry!$B$7^($A10-R$2),0),0)</f>
        <v>0</v>
      </c>
      <c r="S10" s="4" t="n">
        <f aca="false">IF($A10&gt;=S$2,ROUND(S$1*Parametry!$B$7^($A10-S$2),0),0)</f>
        <v>2</v>
      </c>
      <c r="T10" s="4" t="n">
        <f aca="false">IF($A10&gt;=T$2,ROUND(T$1*Parametry!$B$7^($A10-T$2),0),0)</f>
        <v>0</v>
      </c>
      <c r="U10" s="4" t="n">
        <f aca="false">IF($A10&gt;=U$2,ROUND(U$1*Parametry!$B$7^($A10-U$2),0),0)</f>
        <v>0</v>
      </c>
      <c r="V10" s="4" t="n">
        <f aca="false">IF($A10&gt;=V$2,ROUND(V$1*Parametry!$B$7^($A10-V$2),0),0)</f>
        <v>0</v>
      </c>
      <c r="W10" s="4" t="n">
        <f aca="false">SUM(D10:V10)</f>
        <v>26</v>
      </c>
      <c r="X10" s="18" t="n">
        <f aca="false">(D10*Nepřátelé!$B$2+E10*Nepřátelé!$B$3+F10*Nepřátelé!$B$4+G10*Nepřátelé!$B$5+H10*Nepřátelé!$B$6+I10*Nepřátelé!$B$7+J10*Nepřátelé!$B$8+K10*Nepřátelé!$B$9+L10*Nepřátelé!$B$10+M10*Nepřátelé!$B$11+N10*Nepřátelé!$B$12+O10*Nepřátelé!$B$13+P10*Nepřátelé!$B$14+Q10*Nepřátelé!$B$15+R10*Nepřátelé!$B$16+S10*Nepřátelé!$B$22+T10*Nepřátelé!$B$24+U10*Nepřátelé!$B$29+V10*Nepřátelé!$B$33)*B10</f>
        <v>2937.58717234375</v>
      </c>
      <c r="Y10" s="18" t="n">
        <f aca="false">(D10*Nepřátelé!$C$2+E10*Nepřátelé!$C$3+F10*Nepřátelé!$C$4+G10*Nepřátelé!$C$5+H10*Nepřátelé!$C$6+I10*Nepřátelé!$C$7+J10*Nepřátelé!$C$8+K10*Nepřátelé!$C$9+L10*Nepřátelé!$C$10+M10*Nepřátelé!$C$11+N10*Nepřátelé!$C$12+O10*Nepřátelé!$C$13+P10*Nepřátelé!$C$14+Q10*Nepřátelé!$C$15+R10*Nepřátelé!$C$16+S10*Nepřátelé!$C$22+T10*Nepřátelé!$C$24+U10*Nepřátelé!$C$29+V10*Nepřátelé!$C$33)</f>
        <v>145</v>
      </c>
      <c r="Z10" s="18" t="n">
        <f aca="false">(D10*Nepřátelé!$E$2+E10*Nepřátelé!$E$3+F10*Nepřátelé!$E$4+G10*Nepřátelé!$E$5+H10*Nepřátelé!$E$6+I10*Nepřátelé!$E$7+J10*Nepřátelé!$E$8+K10*Nepřátelé!$E$9+L10*Nepřátelé!$E$10+M10*Nepřátelé!$E$11+N10*Nepřátelé!$E$12+O10*Nepřátelé!$E$13+P10*Nepřátelé!$E$14+Q10*Nepřátelé!$E$15+R10*Nepřátelé!$E$16+S10*Nepřátelé!$E$22+T10*Nepřátelé!$E$24+U10*Nepřátelé!$E$29+V10*Nepřátelé!$E$33)*B10^Parametry!$B$12</f>
        <v>374.10564757702</v>
      </c>
      <c r="AA10" s="18" t="n">
        <f aca="false">Parametry!$B$14+Parametry!$B$15*A10</f>
        <v>55</v>
      </c>
      <c r="AB10" s="18" t="n">
        <f aca="false">AB9+Z10+AA10</f>
        <v>1541.87321505901</v>
      </c>
      <c r="AC10" s="18" t="n">
        <f aca="false">X10/Parametry!$B$8</f>
        <v>65.2797149409722</v>
      </c>
      <c r="AD10" s="18" t="n">
        <f aca="false">AC10*Parametry!$B$10</f>
        <v>45.6958004586805</v>
      </c>
      <c r="AE10" s="18" t="n">
        <f aca="false">AB9*Parametry!$B$16*Zbraně!$B$40*Parametry!$B$11</f>
        <v>51.8457344895554</v>
      </c>
      <c r="AF10" s="17" t="n">
        <f aca="false">IF(AD10=0,0,AE10/AD10)</f>
        <v>1.13458422807225</v>
      </c>
      <c r="AG10" s="4" t="str">
        <f aca="false">IF(AF10&lt;0.8,"TĚŽKÁ",IF(AF10&gt;2,"LEHKÁ","OK"))</f>
        <v>OK</v>
      </c>
      <c r="AH10" s="7"/>
    </row>
    <row r="11" customFormat="false" ht="15" hidden="false" customHeight="false" outlineLevel="0" collapsed="false">
      <c r="A11" s="4" t="n">
        <v>8</v>
      </c>
      <c r="B11" s="17" t="n">
        <f aca="false">Parametry!$B$6^(A11-1)</f>
        <v>2.66001988046875</v>
      </c>
      <c r="C11" s="17" t="n">
        <f aca="false">Parametry!$B$7^(A11-1)</f>
        <v>1.71382426877952</v>
      </c>
      <c r="D11" s="4" t="n">
        <f aca="false">IF($A11&gt;=D$2,ROUND(D$1*Parametry!$B$7^($A11-D$2),0),0)</f>
        <v>10</v>
      </c>
      <c r="E11" s="4" t="n">
        <f aca="false">IF($A11&gt;=E$2,ROUND(E$1*Parametry!$B$7^($A11-E$2),0),0)</f>
        <v>4</v>
      </c>
      <c r="F11" s="4" t="n">
        <f aca="false">IF($A11&gt;=F$2,ROUND(F$1*Parametry!$B$7^($A11-F$2),0),0)</f>
        <v>3</v>
      </c>
      <c r="G11" s="4" t="n">
        <f aca="false">IF($A11&gt;=G$2,ROUND(G$1*Parametry!$B$7^($A11-G$2),0),0)</f>
        <v>2</v>
      </c>
      <c r="H11" s="4" t="n">
        <f aca="false">IF($A11&gt;=H$2,ROUND(H$1*Parametry!$B$7^($A11-H$2),0),0)</f>
        <v>2</v>
      </c>
      <c r="I11" s="4" t="n">
        <f aca="false">IF($A11&gt;=I$2,ROUND(I$1*Parametry!$B$7^($A11-I$2),0),0)</f>
        <v>0</v>
      </c>
      <c r="J11" s="4" t="n">
        <f aca="false">IF($A11&gt;=J$2,ROUND(J$1*Parametry!$B$7^($A11-J$2),0),0)</f>
        <v>0</v>
      </c>
      <c r="K11" s="4" t="n">
        <f aca="false">IF($A11&gt;=K$2,ROUND(K$1*Parametry!$B$7^($A11-K$2),0),0)</f>
        <v>0</v>
      </c>
      <c r="L11" s="4" t="n">
        <f aca="false">IF($A11&gt;=L$2,ROUND(L$1*Parametry!$B$7^($A11-L$2),0),0)</f>
        <v>0</v>
      </c>
      <c r="M11" s="4" t="n">
        <f aca="false">IF($A11&gt;=M$2,ROUND(M$1*Parametry!$B$7^($A11-M$2),0),0)</f>
        <v>0</v>
      </c>
      <c r="N11" s="4" t="n">
        <f aca="false">IF($A11&gt;=N$2,ROUND(N$1*Parametry!$B$7^($A11-N$2),0),0)</f>
        <v>0</v>
      </c>
      <c r="O11" s="4" t="n">
        <f aca="false">IF($A11&gt;=O$2,ROUND(O$1*Parametry!$B$7^($A11-O$2),0),0)</f>
        <v>0</v>
      </c>
      <c r="P11" s="4" t="n">
        <f aca="false">IF($A11&gt;=P$2,ROUND(P$1*Parametry!$B$7^($A11-P$2),0),0)</f>
        <v>3</v>
      </c>
      <c r="Q11" s="4" t="n">
        <f aca="false">IF($A11&gt;=Q$2,ROUND(Q$1*Parametry!$B$7^($A11-Q$2),0),0)</f>
        <v>1</v>
      </c>
      <c r="R11" s="4" t="n">
        <f aca="false">IF($A11&gt;=R$2,ROUND(R$1*Parametry!$B$7^($A11-R$2),0),0)</f>
        <v>0</v>
      </c>
      <c r="S11" s="4" t="n">
        <f aca="false">IF($A11&gt;=S$2,ROUND(S$1*Parametry!$B$7^($A11-S$2),0),0)</f>
        <v>2</v>
      </c>
      <c r="T11" s="4" t="n">
        <f aca="false">IF($A11&gt;=T$2,ROUND(T$1*Parametry!$B$7^($A11-T$2),0),0)</f>
        <v>0</v>
      </c>
      <c r="U11" s="4" t="n">
        <f aca="false">IF($A11&gt;=U$2,ROUND(U$1*Parametry!$B$7^($A11-U$2),0),0)</f>
        <v>0</v>
      </c>
      <c r="V11" s="4" t="n">
        <f aca="false">IF($A11&gt;=V$2,ROUND(V$1*Parametry!$B$7^($A11-V$2),0),0)</f>
        <v>0</v>
      </c>
      <c r="W11" s="4" t="n">
        <f aca="false">SUM(D11:V11)</f>
        <v>27</v>
      </c>
      <c r="X11" s="18" t="n">
        <f aca="false">(D11*Nepřátelé!$B$2+E11*Nepřátelé!$B$3+F11*Nepřátelé!$B$4+G11*Nepřátelé!$B$5+H11*Nepřátelé!$B$6+I11*Nepřátelé!$B$7+J11*Nepřátelé!$B$8+K11*Nepřátelé!$B$9+L11*Nepřátelé!$B$10+M11*Nepřátelé!$B$11+N11*Nepřátelé!$B$12+O11*Nepřátelé!$B$13+P11*Nepřátelé!$B$14+Q11*Nepřátelé!$B$15+R11*Nepřátelé!$B$16+S11*Nepřátelé!$B$22+T11*Nepřátelé!$B$24+U11*Nepřátelé!$B$29+V11*Nepřátelé!$B$33)*B11</f>
        <v>3564.42663982812</v>
      </c>
      <c r="Y11" s="18" t="n">
        <f aca="false">(D11*Nepřátelé!$C$2+E11*Nepřátelé!$C$3+F11*Nepřátelé!$C$4+G11*Nepřátelé!$C$5+H11*Nepřátelé!$C$6+I11*Nepřátelé!$C$7+J11*Nepřátelé!$C$8+K11*Nepřátelé!$C$9+L11*Nepřátelé!$C$10+M11*Nepřátelé!$C$11+N11*Nepřátelé!$C$12+O11*Nepřátelé!$C$13+P11*Nepřátelé!$C$14+Q11*Nepřátelé!$C$15+R11*Nepřátelé!$C$16+S11*Nepřátelé!$C$22+T11*Nepřátelé!$C$24+U11*Nepřátelé!$C$29+V11*Nepřátelé!$C$33)</f>
        <v>151</v>
      </c>
      <c r="Z11" s="18" t="n">
        <f aca="false">(D11*Nepřátelé!$E$2+E11*Nepřátelé!$E$3+F11*Nepřátelé!$E$4+G11*Nepřátelé!$E$5+H11*Nepřátelé!$E$6+I11*Nepřátelé!$E$7+J11*Nepřátelé!$E$8+K11*Nepřátelé!$E$9+L11*Nepřátelé!$E$10+M11*Nepřátelé!$E$11+N11*Nepřátelé!$E$12+O11*Nepřátelé!$E$13+P11*Nepřátelé!$E$14+Q11*Nepřátelé!$E$15+R11*Nepřátelé!$E$16+S11*Nepřátelé!$E$22+T11*Nepřátelé!$E$24+U11*Nepřátelé!$E$29+V11*Nepřátelé!$E$33)*B11^Parametry!$B$12</f>
        <v>448.257801601541</v>
      </c>
      <c r="AA11" s="18" t="n">
        <f aca="false">Parametry!$B$14+Parametry!$B$15*A11</f>
        <v>60</v>
      </c>
      <c r="AB11" s="18" t="n">
        <f aca="false">AB10+Z11+AA11</f>
        <v>2050.13101666055</v>
      </c>
      <c r="AC11" s="18" t="n">
        <f aca="false">X11/Parametry!$B$8</f>
        <v>79.2094808850694</v>
      </c>
      <c r="AD11" s="18" t="n">
        <f aca="false">AC11*Parametry!$B$10</f>
        <v>55.4466366195486</v>
      </c>
      <c r="AE11" s="18" t="n">
        <f aca="false">AB10*Parametry!$B$16*Zbraně!$B$40*Parametry!$B$11</f>
        <v>71.838496789942</v>
      </c>
      <c r="AF11" s="17" t="n">
        <f aca="false">IF(AD11=0,0,AE11/AD11)</f>
        <v>1.29563308380394</v>
      </c>
      <c r="AG11" s="4" t="str">
        <f aca="false">IF(AF11&lt;0.8,"TĚŽKÁ",IF(AF11&gt;2,"LEHKÁ","OK"))</f>
        <v>OK</v>
      </c>
      <c r="AH11" s="7" t="s">
        <v>330</v>
      </c>
    </row>
    <row r="12" customFormat="false" ht="15" hidden="false" customHeight="false" outlineLevel="0" collapsed="false">
      <c r="A12" s="4" t="n">
        <v>9</v>
      </c>
      <c r="B12" s="17" t="n">
        <f aca="false">Parametry!$B$6^(A12-1)</f>
        <v>3.05902286253906</v>
      </c>
      <c r="C12" s="17" t="n">
        <f aca="false">Parametry!$B$7^(A12-1)</f>
        <v>1.85093021028188</v>
      </c>
      <c r="D12" s="4" t="n">
        <f aca="false">IF($A12&gt;=D$2,ROUND(D$1*Parametry!$B$7^($A12-D$2),0),0)</f>
        <v>11</v>
      </c>
      <c r="E12" s="4" t="n">
        <f aca="false">IF($A12&gt;=E$2,ROUND(E$1*Parametry!$B$7^($A12-E$2),0),0)</f>
        <v>5</v>
      </c>
      <c r="F12" s="4" t="n">
        <f aca="false">IF($A12&gt;=F$2,ROUND(F$1*Parametry!$B$7^($A12-F$2),0),0)</f>
        <v>3</v>
      </c>
      <c r="G12" s="4" t="n">
        <f aca="false">IF($A12&gt;=G$2,ROUND(G$1*Parametry!$B$7^($A12-G$2),0),0)</f>
        <v>3</v>
      </c>
      <c r="H12" s="4" t="n">
        <f aca="false">IF($A12&gt;=H$2,ROUND(H$1*Parametry!$B$7^($A12-H$2),0),0)</f>
        <v>3</v>
      </c>
      <c r="I12" s="4" t="n">
        <f aca="false">IF($A12&gt;=I$2,ROUND(I$1*Parametry!$B$7^($A12-I$2),0),0)</f>
        <v>2</v>
      </c>
      <c r="J12" s="4" t="n">
        <f aca="false">IF($A12&gt;=J$2,ROUND(J$1*Parametry!$B$7^($A12-J$2),0),0)</f>
        <v>1</v>
      </c>
      <c r="K12" s="4" t="n">
        <f aca="false">IF($A12&gt;=K$2,ROUND(K$1*Parametry!$B$7^($A12-K$2),0),0)</f>
        <v>0</v>
      </c>
      <c r="L12" s="4" t="n">
        <f aca="false">IF($A12&gt;=L$2,ROUND(L$1*Parametry!$B$7^($A12-L$2),0),0)</f>
        <v>0</v>
      </c>
      <c r="M12" s="4" t="n">
        <f aca="false">IF($A12&gt;=M$2,ROUND(M$1*Parametry!$B$7^($A12-M$2),0),0)</f>
        <v>0</v>
      </c>
      <c r="N12" s="4" t="n">
        <f aca="false">IF($A12&gt;=N$2,ROUND(N$1*Parametry!$B$7^($A12-N$2),0),0)</f>
        <v>0</v>
      </c>
      <c r="O12" s="4" t="n">
        <f aca="false">IF($A12&gt;=O$2,ROUND(O$1*Parametry!$B$7^($A12-O$2),0),0)</f>
        <v>0</v>
      </c>
      <c r="P12" s="4" t="n">
        <f aca="false">IF($A12&gt;=P$2,ROUND(P$1*Parametry!$B$7^($A12-P$2),0),0)</f>
        <v>3</v>
      </c>
      <c r="Q12" s="4" t="n">
        <f aca="false">IF($A12&gt;=Q$2,ROUND(Q$1*Parametry!$B$7^($A12-Q$2),0),0)</f>
        <v>1</v>
      </c>
      <c r="R12" s="4" t="n">
        <f aca="false">IF($A12&gt;=R$2,ROUND(R$1*Parametry!$B$7^($A12-R$2),0),0)</f>
        <v>0</v>
      </c>
      <c r="S12" s="4" t="n">
        <f aca="false">IF($A12&gt;=S$2,ROUND(S$1*Parametry!$B$7^($A12-S$2),0),0)</f>
        <v>2</v>
      </c>
      <c r="T12" s="4" t="n">
        <f aca="false">IF($A12&gt;=T$2,ROUND(T$1*Parametry!$B$7^($A12-T$2),0),0)</f>
        <v>0</v>
      </c>
      <c r="U12" s="4" t="n">
        <f aca="false">IF($A12&gt;=U$2,ROUND(U$1*Parametry!$B$7^($A12-U$2),0),0)</f>
        <v>0</v>
      </c>
      <c r="V12" s="4" t="n">
        <f aca="false">IF($A12&gt;=V$2,ROUND(V$1*Parametry!$B$7^($A12-V$2),0),0)</f>
        <v>0</v>
      </c>
      <c r="W12" s="4" t="n">
        <f aca="false">SUM(D12:V12)</f>
        <v>34</v>
      </c>
      <c r="X12" s="18" t="n">
        <f aca="false">(D12*Nepřátelé!$B$2+E12*Nepřátelé!$B$3+F12*Nepřátelé!$B$4+G12*Nepřátelé!$B$5+H12*Nepřátelé!$B$6+I12*Nepřátelé!$B$7+J12*Nepřátelé!$B$8+K12*Nepřátelé!$B$9+L12*Nepřátelé!$B$10+M12*Nepřátelé!$B$11+N12*Nepřátelé!$B$12+O12*Nepřátelé!$B$13+P12*Nepřátelé!$B$14+Q12*Nepřátelé!$B$15+R12*Nepřátelé!$B$16+S12*Nepřátelé!$B$22+T12*Nepřátelé!$B$24+U12*Nepřátelé!$B$29+V12*Nepřátelé!$B$33)*B12</f>
        <v>5230.92909494179</v>
      </c>
      <c r="Y12" s="18" t="n">
        <f aca="false">(D12*Nepřátelé!$C$2+E12*Nepřátelé!$C$3+F12*Nepřátelé!$C$4+G12*Nepřátelé!$C$5+H12*Nepřátelé!$C$6+I12*Nepřátelé!$C$7+J12*Nepřátelé!$C$8+K12*Nepřátelé!$C$9+L12*Nepřátelé!$C$10+M12*Nepřátelé!$C$11+N12*Nepřátelé!$C$12+O12*Nepřátelé!$C$13+P12*Nepřátelé!$C$14+Q12*Nepřátelé!$C$15+R12*Nepřátelé!$C$16+S12*Nepřátelé!$C$22+T12*Nepřátelé!$C$24+U12*Nepřátelé!$C$29+V12*Nepřátelé!$C$33)</f>
        <v>205</v>
      </c>
      <c r="Z12" s="18" t="n">
        <f aca="false">(D12*Nepřátelé!$E$2+E12*Nepřátelé!$E$3+F12*Nepřátelé!$E$4+G12*Nepřátelé!$E$5+H12*Nepřátelé!$E$6+I12*Nepřátelé!$E$7+J12*Nepřátelé!$E$8+K12*Nepřátelé!$E$9+L12*Nepřátelé!$E$10+M12*Nepřátelé!$E$11+N12*Nepřátelé!$E$12+O12*Nepřátelé!$E$13+P12*Nepřátelé!$E$14+Q12*Nepřátelé!$E$15+R12*Nepřátelé!$E$16+S12*Nepřátelé!$E$22+T12*Nepřátelé!$E$24+U12*Nepřátelé!$E$29+V12*Nepřátelé!$E$33)*B12^Parametry!$B$12</f>
        <v>686.811493134986</v>
      </c>
      <c r="AA12" s="18" t="n">
        <f aca="false">Parametry!$B$14+Parametry!$B$15*A12</f>
        <v>65</v>
      </c>
      <c r="AB12" s="18" t="n">
        <f aca="false">AB11+Z12+AA12</f>
        <v>2801.94250979554</v>
      </c>
      <c r="AC12" s="18" t="n">
        <f aca="false">X12/Parametry!$B$8</f>
        <v>116.242868776484</v>
      </c>
      <c r="AD12" s="18" t="n">
        <f aca="false">AC12*Parametry!$B$10</f>
        <v>81.370008143539</v>
      </c>
      <c r="AE12" s="18" t="n">
        <f aca="false">AB11*Parametry!$B$16*Zbraně!$B$40*Parametry!$B$11</f>
        <v>95.5190926341456</v>
      </c>
      <c r="AF12" s="17" t="n">
        <f aca="false">IF(AD12=0,0,AE12/AD12)</f>
        <v>1.17388574504807</v>
      </c>
      <c r="AG12" s="4" t="str">
        <f aca="false">IF(AF12&lt;0.8,"TĚŽKÁ",IF(AF12&gt;2,"LEHKÁ","OK"))</f>
        <v>OK</v>
      </c>
      <c r="AH12" s="7"/>
    </row>
    <row r="13" customFormat="false" ht="15" hidden="false" customHeight="false" outlineLevel="0" collapsed="false">
      <c r="A13" s="4" t="n">
        <v>10</v>
      </c>
      <c r="B13" s="17" t="n">
        <f aca="false">Parametry!$B$6^(A13-1)</f>
        <v>3.51787629191992</v>
      </c>
      <c r="C13" s="17" t="n">
        <f aca="false">Parametry!$B$7^(A13-1)</f>
        <v>1.99900462710443</v>
      </c>
      <c r="D13" s="4" t="n">
        <f aca="false">IF($A13&gt;=D$2,ROUND(D$1*Parametry!$B$7^($A13-D$2),0),0)</f>
        <v>12</v>
      </c>
      <c r="E13" s="4" t="n">
        <f aca="false">IF($A13&gt;=E$2,ROUND(E$1*Parametry!$B$7^($A13-E$2),0),0)</f>
        <v>5</v>
      </c>
      <c r="F13" s="4" t="n">
        <f aca="false">IF($A13&gt;=F$2,ROUND(F$1*Parametry!$B$7^($A13-F$2),0),0)</f>
        <v>3</v>
      </c>
      <c r="G13" s="4" t="n">
        <f aca="false">IF($A13&gt;=G$2,ROUND(G$1*Parametry!$B$7^($A13-G$2),0),0)</f>
        <v>3</v>
      </c>
      <c r="H13" s="4" t="n">
        <f aca="false">IF($A13&gt;=H$2,ROUND(H$1*Parametry!$B$7^($A13-H$2),0),0)</f>
        <v>3</v>
      </c>
      <c r="I13" s="4" t="n">
        <f aca="false">IF($A13&gt;=I$2,ROUND(I$1*Parametry!$B$7^($A13-I$2),0),0)</f>
        <v>2</v>
      </c>
      <c r="J13" s="4" t="n">
        <f aca="false">IF($A13&gt;=J$2,ROUND(J$1*Parametry!$B$7^($A13-J$2),0),0)</f>
        <v>1</v>
      </c>
      <c r="K13" s="4" t="n">
        <f aca="false">IF($A13&gt;=K$2,ROUND(K$1*Parametry!$B$7^($A13-K$2),0),0)</f>
        <v>0</v>
      </c>
      <c r="L13" s="4" t="n">
        <f aca="false">IF($A13&gt;=L$2,ROUND(L$1*Parametry!$B$7^($A13-L$2),0),0)</f>
        <v>0</v>
      </c>
      <c r="M13" s="4" t="n">
        <f aca="false">IF($A13&gt;=M$2,ROUND(M$1*Parametry!$B$7^($A13-M$2),0),0)</f>
        <v>0</v>
      </c>
      <c r="N13" s="4" t="n">
        <f aca="false">IF($A13&gt;=N$2,ROUND(N$1*Parametry!$B$7^($A13-N$2),0),0)</f>
        <v>0</v>
      </c>
      <c r="O13" s="4" t="n">
        <f aca="false">IF($A13&gt;=O$2,ROUND(O$1*Parametry!$B$7^($A13-O$2),0),0)</f>
        <v>0</v>
      </c>
      <c r="P13" s="4" t="n">
        <f aca="false">IF($A13&gt;=P$2,ROUND(P$1*Parametry!$B$7^($A13-P$2),0),0)</f>
        <v>3</v>
      </c>
      <c r="Q13" s="4" t="n">
        <f aca="false">IF($A13&gt;=Q$2,ROUND(Q$1*Parametry!$B$7^($A13-Q$2),0),0)</f>
        <v>1</v>
      </c>
      <c r="R13" s="4" t="n">
        <f aca="false">IF($A13&gt;=R$2,ROUND(R$1*Parametry!$B$7^($A13-R$2),0),0)</f>
        <v>1</v>
      </c>
      <c r="S13" s="4" t="n">
        <f aca="false">IF($A13&gt;=S$2,ROUND(S$1*Parametry!$B$7^($A13-S$2),0),0)</f>
        <v>3</v>
      </c>
      <c r="T13" s="4" t="n">
        <f aca="false">IF($A13&gt;=T$2,ROUND(T$1*Parametry!$B$7^($A13-T$2),0),0)</f>
        <v>0</v>
      </c>
      <c r="U13" s="4" t="n">
        <f aca="false">IF($A13&gt;=U$2,ROUND(U$1*Parametry!$B$7^($A13-U$2),0),0)</f>
        <v>0</v>
      </c>
      <c r="V13" s="4" t="n">
        <f aca="false">IF($A13&gt;=V$2,ROUND(V$1*Parametry!$B$7^($A13-V$2),0),0)</f>
        <v>0</v>
      </c>
      <c r="W13" s="4" t="n">
        <f aca="false">SUM(D13:V13)</f>
        <v>37</v>
      </c>
      <c r="X13" s="18" t="n">
        <f aca="false">(D13*Nepřátelé!$B$2+E13*Nepřátelé!$B$3+F13*Nepřátelé!$B$4+G13*Nepřátelé!$B$5+H13*Nepřátelé!$B$6+I13*Nepřátelé!$B$7+J13*Nepřátelé!$B$8+K13*Nepřátelé!$B$9+L13*Nepřátelé!$B$10+M13*Nepřátelé!$B$11+N13*Nepřátelé!$B$12+O13*Nepřátelé!$B$13+P13*Nepřátelé!$B$14+Q13*Nepřátelé!$B$15+R13*Nepřátelé!$B$16+S13*Nepřátelé!$B$22+T13*Nepřátelé!$B$24+U13*Nepřátelé!$B$29+V13*Nepřátelé!$B$33)*B13</f>
        <v>6596.01804734985</v>
      </c>
      <c r="Y13" s="18" t="n">
        <f aca="false">(D13*Nepřátelé!$C$2+E13*Nepřátelé!$C$3+F13*Nepřátelé!$C$4+G13*Nepřátelé!$C$5+H13*Nepřátelé!$C$6+I13*Nepřátelé!$C$7+J13*Nepřátelé!$C$8+K13*Nepřátelé!$C$9+L13*Nepřátelé!$C$10+M13*Nepřátelé!$C$11+N13*Nepřátelé!$C$12+O13*Nepřátelé!$C$13+P13*Nepřátelé!$C$14+Q13*Nepřátelé!$C$15+R13*Nepřátelé!$C$16+S13*Nepřátelé!$C$22+T13*Nepřátelé!$C$24+U13*Nepřátelé!$C$29+V13*Nepřátelé!$C$33)</f>
        <v>220</v>
      </c>
      <c r="Z13" s="18" t="n">
        <f aca="false">(D13*Nepřátelé!$E$2+E13*Nepřátelé!$E$3+F13*Nepřátelé!$E$4+G13*Nepřátelé!$E$5+H13*Nepřátelé!$E$6+I13*Nepřátelé!$E$7+J13*Nepřátelé!$E$8+K13*Nepřátelé!$E$9+L13*Nepřátelé!$E$10+M13*Nepřátelé!$E$11+N13*Nepřátelé!$E$12+O13*Nepřátelé!$E$13+P13*Nepřátelé!$E$14+Q13*Nepřátelé!$E$15+R13*Nepřátelé!$E$16+S13*Nepřátelé!$E$22+T13*Nepřátelé!$E$24+U13*Nepřátelé!$E$29+V13*Nepřátelé!$E$33)*B13^Parametry!$B$12</f>
        <v>851.473428330239</v>
      </c>
      <c r="AA13" s="18" t="n">
        <f aca="false">Parametry!$B$14+Parametry!$B$15*A13</f>
        <v>70</v>
      </c>
      <c r="AB13" s="18" t="n">
        <f aca="false">AB12+Z13+AA13</f>
        <v>3723.41593812578</v>
      </c>
      <c r="AC13" s="18" t="n">
        <f aca="false">X13/Parametry!$B$8</f>
        <v>146.578178829997</v>
      </c>
      <c r="AD13" s="18" t="n">
        <f aca="false">AC13*Parametry!$B$10</f>
        <v>102.604725180998</v>
      </c>
      <c r="AE13" s="18" t="n">
        <f aca="false">AB12*Parametry!$B$16*Zbraně!$B$40*Parametry!$B$11</f>
        <v>130.547269405575</v>
      </c>
      <c r="AF13" s="17" t="n">
        <f aca="false">IF(AD13=0,0,AE13/AD13)</f>
        <v>1.27233194353658</v>
      </c>
      <c r="AG13" s="4" t="str">
        <f aca="false">IF(AF13&lt;0.8,"TĚŽKÁ",IF(AF13&gt;2,"LEHKÁ","OK"))</f>
        <v>OK</v>
      </c>
      <c r="AH13" s="7" t="s">
        <v>331</v>
      </c>
    </row>
    <row r="14" customFormat="false" ht="15" hidden="false" customHeight="false" outlineLevel="0" collapsed="false">
      <c r="A14" s="4" t="n">
        <v>11</v>
      </c>
      <c r="B14" s="17" t="n">
        <f aca="false">Parametry!$B$6^(A14-1)</f>
        <v>4.04555773570791</v>
      </c>
      <c r="C14" s="17" t="n">
        <f aca="false">Parametry!$B$7^(A14-1)</f>
        <v>2.15892499727279</v>
      </c>
      <c r="D14" s="4" t="n">
        <f aca="false">IF($A14&gt;=D$2,ROUND(D$1*Parametry!$B$7^($A14-D$2),0),0)</f>
        <v>13</v>
      </c>
      <c r="E14" s="4" t="n">
        <f aca="false">IF($A14&gt;=E$2,ROUND(E$1*Parametry!$B$7^($A14-E$2),0),0)</f>
        <v>6</v>
      </c>
      <c r="F14" s="4" t="n">
        <f aca="false">IF($A14&gt;=F$2,ROUND(F$1*Parametry!$B$7^($A14-F$2),0),0)</f>
        <v>4</v>
      </c>
      <c r="G14" s="4" t="n">
        <f aca="false">IF($A14&gt;=G$2,ROUND(G$1*Parametry!$B$7^($A14-G$2),0),0)</f>
        <v>3</v>
      </c>
      <c r="H14" s="4" t="n">
        <f aca="false">IF($A14&gt;=H$2,ROUND(H$1*Parametry!$B$7^($A14-H$2),0),0)</f>
        <v>3</v>
      </c>
      <c r="I14" s="4" t="n">
        <f aca="false">IF($A14&gt;=I$2,ROUND(I$1*Parametry!$B$7^($A14-I$2),0),0)</f>
        <v>2</v>
      </c>
      <c r="J14" s="4" t="n">
        <f aca="false">IF($A14&gt;=J$2,ROUND(J$1*Parametry!$B$7^($A14-J$2),0),0)</f>
        <v>1</v>
      </c>
      <c r="K14" s="4" t="n">
        <f aca="false">IF($A14&gt;=K$2,ROUND(K$1*Parametry!$B$7^($A14-K$2),0),0)</f>
        <v>0</v>
      </c>
      <c r="L14" s="4" t="n">
        <f aca="false">IF($A14&gt;=L$2,ROUND(L$1*Parametry!$B$7^($A14-L$2),0),0)</f>
        <v>0</v>
      </c>
      <c r="M14" s="4" t="n">
        <f aca="false">IF($A14&gt;=M$2,ROUND(M$1*Parametry!$B$7^($A14-M$2),0),0)</f>
        <v>0</v>
      </c>
      <c r="N14" s="4" t="n">
        <f aca="false">IF($A14&gt;=N$2,ROUND(N$1*Parametry!$B$7^($A14-N$2),0),0)</f>
        <v>0</v>
      </c>
      <c r="O14" s="4" t="n">
        <f aca="false">IF($A14&gt;=O$2,ROUND(O$1*Parametry!$B$7^($A14-O$2),0),0)</f>
        <v>0</v>
      </c>
      <c r="P14" s="4" t="n">
        <f aca="false">IF($A14&gt;=P$2,ROUND(P$1*Parametry!$B$7^($A14-P$2),0),0)</f>
        <v>3</v>
      </c>
      <c r="Q14" s="4" t="n">
        <f aca="false">IF($A14&gt;=Q$2,ROUND(Q$1*Parametry!$B$7^($A14-Q$2),0),0)</f>
        <v>1</v>
      </c>
      <c r="R14" s="4" t="n">
        <f aca="false">IF($A14&gt;=R$2,ROUND(R$1*Parametry!$B$7^($A14-R$2),0),0)</f>
        <v>1</v>
      </c>
      <c r="S14" s="4" t="n">
        <f aca="false">IF($A14&gt;=S$2,ROUND(S$1*Parametry!$B$7^($A14-S$2),0),0)</f>
        <v>3</v>
      </c>
      <c r="T14" s="4" t="n">
        <f aca="false">IF($A14&gt;=T$2,ROUND(T$1*Parametry!$B$7^($A14-T$2),0),0)</f>
        <v>0</v>
      </c>
      <c r="U14" s="4" t="n">
        <f aca="false">IF($A14&gt;=U$2,ROUND(U$1*Parametry!$B$7^($A14-U$2),0),0)</f>
        <v>0</v>
      </c>
      <c r="V14" s="4" t="n">
        <f aca="false">IF($A14&gt;=V$2,ROUND(V$1*Parametry!$B$7^($A14-V$2),0),0)</f>
        <v>0</v>
      </c>
      <c r="W14" s="4" t="n">
        <f aca="false">SUM(D14:V14)</f>
        <v>40</v>
      </c>
      <c r="X14" s="18" t="n">
        <f aca="false">(D14*Nepřátelé!$B$2+E14*Nepřátelé!$B$3+F14*Nepřátelé!$B$4+G14*Nepřátelé!$B$5+H14*Nepřátelé!$B$6+I14*Nepřátelé!$B$7+J14*Nepřátelé!$B$8+K14*Nepřátelé!$B$9+L14*Nepřátelé!$B$10+M14*Nepřátelé!$B$11+N14*Nepřátelé!$B$12+O14*Nepřátelé!$B$13+P14*Nepřátelé!$B$14+Q14*Nepřátelé!$B$15+R14*Nepřátelé!$B$16+S14*Nepřátelé!$B$22+T14*Nepřátelé!$B$24+U14*Nepřátelé!$B$29+V14*Nepřátelé!$B$33)*B14</f>
        <v>8091.11547141581</v>
      </c>
      <c r="Y14" s="18" t="n">
        <f aca="false">(D14*Nepřátelé!$C$2+E14*Nepřátelé!$C$3+F14*Nepřátelé!$C$4+G14*Nepřátelé!$C$5+H14*Nepřátelé!$C$6+I14*Nepřátelé!$C$7+J14*Nepřátelé!$C$8+K14*Nepřátelé!$C$9+L14*Nepřátelé!$C$10+M14*Nepřátelé!$C$11+N14*Nepřátelé!$C$12+O14*Nepřátelé!$C$13+P14*Nepřátelé!$C$14+Q14*Nepřátelé!$C$15+R14*Nepřátelé!$C$16+S14*Nepřátelé!$C$22+T14*Nepřátelé!$C$24+U14*Nepřátelé!$C$29+V14*Nepřátelé!$C$33)</f>
        <v>242</v>
      </c>
      <c r="Z14" s="18" t="n">
        <f aca="false">(D14*Nepřátelé!$E$2+E14*Nepřátelé!$E$3+F14*Nepřátelé!$E$4+G14*Nepřátelé!$E$5+H14*Nepřátelé!$E$6+I14*Nepřátelé!$E$7+J14*Nepřátelé!$E$8+K14*Nepřátelé!$E$9+L14*Nepřátelé!$E$10+M14*Nepřátelé!$E$11+N14*Nepřátelé!$E$12+O14*Nepřátelé!$E$13+P14*Nepřátelé!$E$14+Q14*Nepřátelé!$E$15+R14*Nepřátelé!$E$16+S14*Nepřátelé!$E$22+T14*Nepřátelé!$E$24+U14*Nepřátelé!$E$29+V14*Nepřátelé!$E$33)*B14^Parametry!$B$12</f>
        <v>994.847435295312</v>
      </c>
      <c r="AA14" s="18" t="n">
        <f aca="false">Parametry!$B$14+Parametry!$B$15*A14</f>
        <v>75</v>
      </c>
      <c r="AB14" s="18" t="n">
        <f aca="false">AB13+Z14+AA14</f>
        <v>4793.26337342109</v>
      </c>
      <c r="AC14" s="18" t="n">
        <f aca="false">X14/Parametry!$B$8</f>
        <v>179.802566031463</v>
      </c>
      <c r="AD14" s="18" t="n">
        <f aca="false">AC14*Parametry!$B$10</f>
        <v>125.861796222024</v>
      </c>
      <c r="AE14" s="18" t="n">
        <f aca="false">AB13*Parametry!$B$16*Zbraně!$B$40*Parametry!$B$11</f>
        <v>173.480284439879</v>
      </c>
      <c r="AF14" s="17" t="n">
        <f aca="false">IF(AD14=0,0,AE14/AD14)</f>
        <v>1.37833949337458</v>
      </c>
      <c r="AG14" s="4" t="str">
        <f aca="false">IF(AF14&lt;0.8,"TĚŽKÁ",IF(AF14&gt;2,"LEHKÁ","OK"))</f>
        <v>OK</v>
      </c>
      <c r="AH14" s="7"/>
    </row>
    <row r="15" customFormat="false" ht="15" hidden="false" customHeight="false" outlineLevel="0" collapsed="false">
      <c r="A15" s="4" t="n">
        <v>12</v>
      </c>
      <c r="B15" s="17" t="n">
        <f aca="false">Parametry!$B$6^(A15-1)</f>
        <v>4.65239139606409</v>
      </c>
      <c r="C15" s="17" t="n">
        <f aca="false">Parametry!$B$7^(A15-1)</f>
        <v>2.33163899705461</v>
      </c>
      <c r="D15" s="4" t="n">
        <f aca="false">IF($A15&gt;=D$2,ROUND(D$1*Parametry!$B$7^($A15-D$2),0),0)</f>
        <v>14</v>
      </c>
      <c r="E15" s="4" t="n">
        <f aca="false">IF($A15&gt;=E$2,ROUND(E$1*Parametry!$B$7^($A15-E$2),0),0)</f>
        <v>6</v>
      </c>
      <c r="F15" s="4" t="n">
        <f aca="false">IF($A15&gt;=F$2,ROUND(F$1*Parametry!$B$7^($A15-F$2),0),0)</f>
        <v>4</v>
      </c>
      <c r="G15" s="4" t="n">
        <f aca="false">IF($A15&gt;=G$2,ROUND(G$1*Parametry!$B$7^($A15-G$2),0),0)</f>
        <v>3</v>
      </c>
      <c r="H15" s="4" t="n">
        <f aca="false">IF($A15&gt;=H$2,ROUND(H$1*Parametry!$B$7^($A15-H$2),0),0)</f>
        <v>3</v>
      </c>
      <c r="I15" s="4" t="n">
        <f aca="false">IF($A15&gt;=I$2,ROUND(I$1*Parametry!$B$7^($A15-I$2),0),0)</f>
        <v>3</v>
      </c>
      <c r="J15" s="4" t="n">
        <f aca="false">IF($A15&gt;=J$2,ROUND(J$1*Parametry!$B$7^($A15-J$2),0),0)</f>
        <v>1</v>
      </c>
      <c r="K15" s="4" t="n">
        <f aca="false">IF($A15&gt;=K$2,ROUND(K$1*Parametry!$B$7^($A15-K$2),0),0)</f>
        <v>1</v>
      </c>
      <c r="L15" s="4" t="n">
        <f aca="false">IF($A15&gt;=L$2,ROUND(L$1*Parametry!$B$7^($A15-L$2),0),0)</f>
        <v>1</v>
      </c>
      <c r="M15" s="4" t="n">
        <f aca="false">IF($A15&gt;=M$2,ROUND(M$1*Parametry!$B$7^($A15-M$2),0),0)</f>
        <v>0</v>
      </c>
      <c r="N15" s="4" t="n">
        <f aca="false">IF($A15&gt;=N$2,ROUND(N$1*Parametry!$B$7^($A15-N$2),0),0)</f>
        <v>0</v>
      </c>
      <c r="O15" s="4" t="n">
        <f aca="false">IF($A15&gt;=O$2,ROUND(O$1*Parametry!$B$7^($A15-O$2),0),0)</f>
        <v>0</v>
      </c>
      <c r="P15" s="4" t="n">
        <f aca="false">IF($A15&gt;=P$2,ROUND(P$1*Parametry!$B$7^($A15-P$2),0),0)</f>
        <v>4</v>
      </c>
      <c r="Q15" s="4" t="n">
        <f aca="false">IF($A15&gt;=Q$2,ROUND(Q$1*Parametry!$B$7^($A15-Q$2),0),0)</f>
        <v>1</v>
      </c>
      <c r="R15" s="4" t="n">
        <f aca="false">IF($A15&gt;=R$2,ROUND(R$1*Parametry!$B$7^($A15-R$2),0),0)</f>
        <v>1</v>
      </c>
      <c r="S15" s="4" t="n">
        <f aca="false">IF($A15&gt;=S$2,ROUND(S$1*Parametry!$B$7^($A15-S$2),0),0)</f>
        <v>3</v>
      </c>
      <c r="T15" s="4" t="n">
        <f aca="false">IF($A15&gt;=T$2,ROUND(T$1*Parametry!$B$7^($A15-T$2),0),0)</f>
        <v>0</v>
      </c>
      <c r="U15" s="4" t="n">
        <f aca="false">IF($A15&gt;=U$2,ROUND(U$1*Parametry!$B$7^($A15-U$2),0),0)</f>
        <v>0</v>
      </c>
      <c r="V15" s="4" t="n">
        <f aca="false">IF($A15&gt;=V$2,ROUND(V$1*Parametry!$B$7^($A15-V$2),0),0)</f>
        <v>0</v>
      </c>
      <c r="W15" s="4" t="n">
        <f aca="false">SUM(D15:V15)</f>
        <v>45</v>
      </c>
      <c r="X15" s="18" t="n">
        <f aca="false">(D15*Nepřátelé!$B$2+E15*Nepřátelé!$B$3+F15*Nepřátelé!$B$4+G15*Nepřátelé!$B$5+H15*Nepřátelé!$B$6+I15*Nepřátelé!$B$7+J15*Nepřátelé!$B$8+K15*Nepřátelé!$B$9+L15*Nepřátelé!$B$10+M15*Nepřátelé!$B$11+N15*Nepřátelé!$B$12+O15*Nepřátelé!$B$13+P15*Nepřátelé!$B$14+Q15*Nepřátelé!$B$15+R15*Nepřátelé!$B$16+S15*Nepřátelé!$B$22+T15*Nepřátelé!$B$24+U15*Nepřátelé!$B$29+V15*Nepřátelé!$B$33)*B15</f>
        <v>10188.7371573804</v>
      </c>
      <c r="Y15" s="18" t="n">
        <f aca="false">(D15*Nepřátelé!$C$2+E15*Nepřátelé!$C$3+F15*Nepřátelé!$C$4+G15*Nepřátelé!$C$5+H15*Nepřátelé!$C$6+I15*Nepřátelé!$C$7+J15*Nepřátelé!$C$8+K15*Nepřátelé!$C$9+L15*Nepřátelé!$C$10+M15*Nepřátelé!$C$11+N15*Nepřátelé!$C$12+O15*Nepřátelé!$C$13+P15*Nepřátelé!$C$14+Q15*Nepřátelé!$C$15+R15*Nepřátelé!$C$16+S15*Nepřátelé!$C$22+T15*Nepřátelé!$C$24+U15*Nepřátelé!$C$29+V15*Nepřátelé!$C$33)</f>
        <v>262</v>
      </c>
      <c r="Z15" s="18" t="n">
        <f aca="false">(D15*Nepřátelé!$E$2+E15*Nepřátelé!$E$3+F15*Nepřátelé!$E$4+G15*Nepřátelé!$E$5+H15*Nepřátelé!$E$6+I15*Nepřátelé!$E$7+J15*Nepřátelé!$E$8+K15*Nepřátelé!$E$9+L15*Nepřátelé!$E$10+M15*Nepřátelé!$E$11+N15*Nepřátelé!$E$12+O15*Nepřátelé!$E$13+P15*Nepřátelé!$E$14+Q15*Nepřátelé!$E$15+R15*Nepřátelé!$E$16+S15*Nepřátelé!$E$22+T15*Nepřátelé!$E$24+U15*Nepřátelé!$E$29+V15*Nepřátelé!$E$33)*B15^Parametry!$B$12</f>
        <v>1328.8365736938</v>
      </c>
      <c r="AA15" s="18" t="n">
        <f aca="false">Parametry!$B$14+Parametry!$B$15*A15</f>
        <v>80</v>
      </c>
      <c r="AB15" s="18" t="n">
        <f aca="false">AB14+Z15+AA15</f>
        <v>6202.09994711489</v>
      </c>
      <c r="AC15" s="18" t="n">
        <f aca="false">X15/Parametry!$B$8</f>
        <v>226.416381275119</v>
      </c>
      <c r="AD15" s="18" t="n">
        <f aca="false">AC15*Parametry!$B$10</f>
        <v>158.491466892583</v>
      </c>
      <c r="AE15" s="18" t="n">
        <f aca="false">AB14*Parametry!$B$16*Zbraně!$B$40*Parametry!$B$11</f>
        <v>223.326296936599</v>
      </c>
      <c r="AF15" s="17" t="n">
        <f aca="false">IF(AD15=0,0,AE15/AD15)</f>
        <v>1.40907457868351</v>
      </c>
      <c r="AG15" s="4" t="str">
        <f aca="false">IF(AF15&lt;0.8,"TĚŽKÁ",IF(AF15&gt;2,"LEHKÁ","OK"))</f>
        <v>OK</v>
      </c>
      <c r="AH15" s="7"/>
    </row>
    <row r="16" customFormat="false" ht="15" hidden="false" customHeight="false" outlineLevel="0" collapsed="false">
      <c r="A16" s="4" t="n">
        <v>13</v>
      </c>
      <c r="B16" s="17" t="n">
        <f aca="false">Parametry!$B$6^(A16-1)</f>
        <v>5.35025010547371</v>
      </c>
      <c r="C16" s="17" t="n">
        <f aca="false">Parametry!$B$7^(A16-1)</f>
        <v>2.51817011681898</v>
      </c>
      <c r="D16" s="4" t="n">
        <f aca="false">IF($A16&gt;=D$2,ROUND(D$1*Parametry!$B$7^($A16-D$2),0),0)</f>
        <v>15</v>
      </c>
      <c r="E16" s="4" t="n">
        <f aca="false">IF($A16&gt;=E$2,ROUND(E$1*Parametry!$B$7^($A16-E$2),0),0)</f>
        <v>6</v>
      </c>
      <c r="F16" s="4" t="n">
        <f aca="false">IF($A16&gt;=F$2,ROUND(F$1*Parametry!$B$7^($A16-F$2),0),0)</f>
        <v>4</v>
      </c>
      <c r="G16" s="4" t="n">
        <f aca="false">IF($A16&gt;=G$2,ROUND(G$1*Parametry!$B$7^($A16-G$2),0),0)</f>
        <v>3</v>
      </c>
      <c r="H16" s="4" t="n">
        <f aca="false">IF($A16&gt;=H$2,ROUND(H$1*Parametry!$B$7^($A16-H$2),0),0)</f>
        <v>3</v>
      </c>
      <c r="I16" s="4" t="n">
        <f aca="false">IF($A16&gt;=I$2,ROUND(I$1*Parametry!$B$7^($A16-I$2),0),0)</f>
        <v>3</v>
      </c>
      <c r="J16" s="4" t="n">
        <f aca="false">IF($A16&gt;=J$2,ROUND(J$1*Parametry!$B$7^($A16-J$2),0),0)</f>
        <v>1</v>
      </c>
      <c r="K16" s="4" t="n">
        <f aca="false">IF($A16&gt;=K$2,ROUND(K$1*Parametry!$B$7^($A16-K$2),0),0)</f>
        <v>1</v>
      </c>
      <c r="L16" s="4" t="n">
        <f aca="false">IF($A16&gt;=L$2,ROUND(L$1*Parametry!$B$7^($A16-L$2),0),0)</f>
        <v>1</v>
      </c>
      <c r="M16" s="4" t="n">
        <f aca="false">IF($A16&gt;=M$2,ROUND(M$1*Parametry!$B$7^($A16-M$2),0),0)</f>
        <v>0</v>
      </c>
      <c r="N16" s="4" t="n">
        <f aca="false">IF($A16&gt;=N$2,ROUND(N$1*Parametry!$B$7^($A16-N$2),0),0)</f>
        <v>0</v>
      </c>
      <c r="O16" s="4" t="n">
        <f aca="false">IF($A16&gt;=O$2,ROUND(O$1*Parametry!$B$7^($A16-O$2),0),0)</f>
        <v>0</v>
      </c>
      <c r="P16" s="4" t="n">
        <f aca="false">IF($A16&gt;=P$2,ROUND(P$1*Parametry!$B$7^($A16-P$2),0),0)</f>
        <v>4</v>
      </c>
      <c r="Q16" s="4" t="n">
        <f aca="false">IF($A16&gt;=Q$2,ROUND(Q$1*Parametry!$B$7^($A16-Q$2),0),0)</f>
        <v>1</v>
      </c>
      <c r="R16" s="4" t="n">
        <f aca="false">IF($A16&gt;=R$2,ROUND(R$1*Parametry!$B$7^($A16-R$2),0),0)</f>
        <v>1</v>
      </c>
      <c r="S16" s="4" t="n">
        <f aca="false">IF($A16&gt;=S$2,ROUND(S$1*Parametry!$B$7^($A16-S$2),0),0)</f>
        <v>3</v>
      </c>
      <c r="T16" s="4" t="n">
        <f aca="false">IF($A16&gt;=T$2,ROUND(T$1*Parametry!$B$7^($A16-T$2),0),0)</f>
        <v>1</v>
      </c>
      <c r="U16" s="4" t="n">
        <f aca="false">IF($A16&gt;=U$2,ROUND(U$1*Parametry!$B$7^($A16-U$2),0),0)</f>
        <v>0</v>
      </c>
      <c r="V16" s="4" t="n">
        <f aca="false">IF($A16&gt;=V$2,ROUND(V$1*Parametry!$B$7^($A16-V$2),0),0)</f>
        <v>0</v>
      </c>
      <c r="W16" s="4" t="n">
        <f aca="false">SUM(D16:V16)</f>
        <v>47</v>
      </c>
      <c r="X16" s="18" t="n">
        <f aca="false">(D16*Nepřátelé!$B$2+E16*Nepřátelé!$B$3+F16*Nepřátelé!$B$4+G16*Nepřátelé!$B$5+H16*Nepřátelé!$B$6+I16*Nepřátelé!$B$7+J16*Nepřátelé!$B$8+K16*Nepřátelé!$B$9+L16*Nepřátelé!$B$10+M16*Nepřátelé!$B$11+N16*Nepřátelé!$B$12+O16*Nepřátelé!$B$13+P16*Nepřátelé!$B$14+Q16*Nepřátelé!$B$15+R16*Nepřátelé!$B$16+S16*Nepřátelé!$B$22+T16*Nepřátelé!$B$24+U16*Nepřátelé!$B$29+V16*Nepřátelé!$B$33)*B16</f>
        <v>12947.6052552464</v>
      </c>
      <c r="Y16" s="18" t="n">
        <f aca="false">(D16*Nepřátelé!$C$2+E16*Nepřátelé!$C$3+F16*Nepřátelé!$C$4+G16*Nepřátelé!$C$5+H16*Nepřátelé!$C$6+I16*Nepřátelé!$C$7+J16*Nepřátelé!$C$8+K16*Nepřátelé!$C$9+L16*Nepřátelé!$C$10+M16*Nepřátelé!$C$11+N16*Nepřátelé!$C$12+O16*Nepřátelé!$C$13+P16*Nepřátelé!$C$14+Q16*Nepřátelé!$C$15+R16*Nepřátelé!$C$16+S16*Nepřátelé!$C$22+T16*Nepřátelé!$C$24+U16*Nepřátelé!$C$29+V16*Nepřátelé!$C$33)</f>
        <v>281</v>
      </c>
      <c r="Z16" s="18" t="n">
        <f aca="false">(D16*Nepřátelé!$E$2+E16*Nepřátelé!$E$3+F16*Nepřátelé!$E$4+G16*Nepřátelé!$E$5+H16*Nepřátelé!$E$6+I16*Nepřátelé!$E$7+J16*Nepřátelé!$E$8+K16*Nepřátelé!$E$9+L16*Nepřátelé!$E$10+M16*Nepřátelé!$E$11+N16*Nepřátelé!$E$12+O16*Nepřátelé!$E$13+P16*Nepřátelé!$E$14+Q16*Nepřátelé!$E$15+R16*Nepřátelé!$E$16+S16*Nepřátelé!$E$22+T16*Nepřátelé!$E$24+U16*Nepřátelé!$E$29+V16*Nepřátelé!$E$33)*B16^Parametry!$B$12</f>
        <v>1572.16501656861</v>
      </c>
      <c r="AA16" s="18" t="n">
        <f aca="false">Parametry!$B$14+Parametry!$B$15*A16</f>
        <v>85</v>
      </c>
      <c r="AB16" s="18" t="n">
        <f aca="false">AB15+Z16+AA16</f>
        <v>7859.2649636835</v>
      </c>
      <c r="AC16" s="18" t="n">
        <f aca="false">X16/Parametry!$B$8</f>
        <v>287.724561227697</v>
      </c>
      <c r="AD16" s="18" t="n">
        <f aca="false">AC16*Parametry!$B$10</f>
        <v>201.407192859388</v>
      </c>
      <c r="AE16" s="18" t="n">
        <f aca="false">AB15*Parametry!$B$16*Zbraně!$B$40*Parametry!$B$11</f>
        <v>288.966390225969</v>
      </c>
      <c r="AF16" s="17" t="n">
        <f aca="false">IF(AD16=0,0,AE16/AD16)</f>
        <v>1.43473719147514</v>
      </c>
      <c r="AG16" s="4" t="str">
        <f aca="false">IF(AF16&lt;0.8,"TĚŽKÁ",IF(AF16&gt;2,"LEHKÁ","OK"))</f>
        <v>OK</v>
      </c>
      <c r="AH16" s="7"/>
    </row>
    <row r="17" customFormat="false" ht="15" hidden="false" customHeight="false" outlineLevel="0" collapsed="false">
      <c r="A17" s="4" t="n">
        <v>14</v>
      </c>
      <c r="B17" s="17" t="n">
        <f aca="false">Parametry!$B$6^(A17-1)</f>
        <v>6.15278762129476</v>
      </c>
      <c r="C17" s="17" t="n">
        <f aca="false">Parametry!$B$7^(A17-1)</f>
        <v>2.7196237261645</v>
      </c>
      <c r="D17" s="4" t="n">
        <f aca="false">IF($A17&gt;=D$2,ROUND(D$1*Parametry!$B$7^($A17-D$2),0),0)</f>
        <v>16</v>
      </c>
      <c r="E17" s="4" t="n">
        <f aca="false">IF($A17&gt;=E$2,ROUND(E$1*Parametry!$B$7^($A17-E$2),0),0)</f>
        <v>7</v>
      </c>
      <c r="F17" s="4" t="n">
        <f aca="false">IF($A17&gt;=F$2,ROUND(F$1*Parametry!$B$7^($A17-F$2),0),0)</f>
        <v>5</v>
      </c>
      <c r="G17" s="4" t="n">
        <f aca="false">IF($A17&gt;=G$2,ROUND(G$1*Parametry!$B$7^($A17-G$2),0),0)</f>
        <v>4</v>
      </c>
      <c r="H17" s="4" t="n">
        <f aca="false">IF($A17&gt;=H$2,ROUND(H$1*Parametry!$B$7^($A17-H$2),0),0)</f>
        <v>4</v>
      </c>
      <c r="I17" s="4" t="n">
        <f aca="false">IF($A17&gt;=I$2,ROUND(I$1*Parametry!$B$7^($A17-I$2),0),0)</f>
        <v>3</v>
      </c>
      <c r="J17" s="4" t="n">
        <f aca="false">IF($A17&gt;=J$2,ROUND(J$1*Parametry!$B$7^($A17-J$2),0),0)</f>
        <v>1</v>
      </c>
      <c r="K17" s="4" t="n">
        <f aca="false">IF($A17&gt;=K$2,ROUND(K$1*Parametry!$B$7^($A17-K$2),0),0)</f>
        <v>1</v>
      </c>
      <c r="L17" s="4" t="n">
        <f aca="false">IF($A17&gt;=L$2,ROUND(L$1*Parametry!$B$7^($A17-L$2),0),0)</f>
        <v>1</v>
      </c>
      <c r="M17" s="4" t="n">
        <f aca="false">IF($A17&gt;=M$2,ROUND(M$1*Parametry!$B$7^($A17-M$2),0),0)</f>
        <v>0</v>
      </c>
      <c r="N17" s="4" t="n">
        <f aca="false">IF($A17&gt;=N$2,ROUND(N$1*Parametry!$B$7^($A17-N$2),0),0)</f>
        <v>0</v>
      </c>
      <c r="O17" s="4" t="n">
        <f aca="false">IF($A17&gt;=O$2,ROUND(O$1*Parametry!$B$7^($A17-O$2),0),0)</f>
        <v>0</v>
      </c>
      <c r="P17" s="4" t="n">
        <f aca="false">IF($A17&gt;=P$2,ROUND(P$1*Parametry!$B$7^($A17-P$2),0),0)</f>
        <v>4</v>
      </c>
      <c r="Q17" s="4" t="n">
        <f aca="false">IF($A17&gt;=Q$2,ROUND(Q$1*Parametry!$B$7^($A17-Q$2),0),0)</f>
        <v>2</v>
      </c>
      <c r="R17" s="4" t="n">
        <f aca="false">IF($A17&gt;=R$2,ROUND(R$1*Parametry!$B$7^($A17-R$2),0),0)</f>
        <v>1</v>
      </c>
      <c r="S17" s="4" t="n">
        <f aca="false">IF($A17&gt;=S$2,ROUND(S$1*Parametry!$B$7^($A17-S$2),0),0)</f>
        <v>3</v>
      </c>
      <c r="T17" s="4" t="n">
        <f aca="false">IF($A17&gt;=T$2,ROUND(T$1*Parametry!$B$7^($A17-T$2),0),0)</f>
        <v>1</v>
      </c>
      <c r="U17" s="4" t="n">
        <f aca="false">IF($A17&gt;=U$2,ROUND(U$1*Parametry!$B$7^($A17-U$2),0),0)</f>
        <v>0</v>
      </c>
      <c r="V17" s="4" t="n">
        <f aca="false">IF($A17&gt;=V$2,ROUND(V$1*Parametry!$B$7^($A17-V$2),0),0)</f>
        <v>0</v>
      </c>
      <c r="W17" s="4" t="n">
        <f aca="false">SUM(D17:V17)</f>
        <v>53</v>
      </c>
      <c r="X17" s="18" t="n">
        <f aca="false">(D17*Nepřátelé!$B$2+E17*Nepřátelé!$B$3+F17*Nepřátelé!$B$4+G17*Nepřátelé!$B$5+H17*Nepřátelé!$B$6+I17*Nepřátelé!$B$7+J17*Nepřátelé!$B$8+K17*Nepřátelé!$B$9+L17*Nepřátelé!$B$10+M17*Nepřátelé!$B$11+N17*Nepřátelé!$B$12+O17*Nepřátelé!$B$13+P17*Nepřátelé!$B$14+Q17*Nepřátelé!$B$15+R17*Nepřátelé!$B$16+S17*Nepřátelé!$B$22+T17*Nepřátelé!$B$24+U17*Nepřátelé!$B$29+V17*Nepřátelé!$B$33)*B17</f>
        <v>17320.0971539448</v>
      </c>
      <c r="Y17" s="18" t="n">
        <f aca="false">(D17*Nepřátelé!$C$2+E17*Nepřátelé!$C$3+F17*Nepřátelé!$C$4+G17*Nepřátelé!$C$5+H17*Nepřátelé!$C$6+I17*Nepřátelé!$C$7+J17*Nepřátelé!$C$8+K17*Nepřátelé!$C$9+L17*Nepřátelé!$C$10+M17*Nepřátelé!$C$11+N17*Nepřátelé!$C$12+O17*Nepřátelé!$C$13+P17*Nepřátelé!$C$14+Q17*Nepřátelé!$C$15+R17*Nepřátelé!$C$16+S17*Nepřátelé!$C$22+T17*Nepřátelé!$C$24+U17*Nepřátelé!$C$29+V17*Nepřátelé!$C$33)</f>
        <v>322</v>
      </c>
      <c r="Z17" s="18" t="n">
        <f aca="false">(D17*Nepřátelé!$E$2+E17*Nepřátelé!$E$3+F17*Nepřátelé!$E$4+G17*Nepřátelé!$E$5+H17*Nepřátelé!$E$6+I17*Nepřátelé!$E$7+J17*Nepřátelé!$E$8+K17*Nepřátelé!$E$9+L17*Nepřátelé!$E$10+M17*Nepřátelé!$E$11+N17*Nepřátelé!$E$12+O17*Nepřátelé!$E$13+P17*Nepřátelé!$E$14+Q17*Nepřátelé!$E$15+R17*Nepřátelé!$E$16+S17*Nepřátelé!$E$22+T17*Nepřátelé!$E$24+U17*Nepřátelé!$E$29+V17*Nepřátelé!$E$33)*B17^Parametry!$B$12</f>
        <v>1976.33295253736</v>
      </c>
      <c r="AA17" s="18" t="n">
        <f aca="false">Parametry!$B$14+Parametry!$B$15*A17</f>
        <v>90</v>
      </c>
      <c r="AB17" s="18" t="n">
        <f aca="false">AB16+Z17+AA17</f>
        <v>9925.59791622085</v>
      </c>
      <c r="AC17" s="18" t="n">
        <f aca="false">X17/Parametry!$B$8</f>
        <v>384.891047865439</v>
      </c>
      <c r="AD17" s="18" t="n">
        <f aca="false">AC17*Parametry!$B$10</f>
        <v>269.423733505807</v>
      </c>
      <c r="AE17" s="18" t="n">
        <f aca="false">AB16*Parametry!$B$16*Zbraně!$B$40*Parametry!$B$11</f>
        <v>366.176528232428</v>
      </c>
      <c r="AF17" s="17" t="n">
        <f aca="false">IF(AD17=0,0,AE17/AD17)</f>
        <v>1.35911014025249</v>
      </c>
      <c r="AG17" s="4" t="str">
        <f aca="false">IF(AF17&lt;0.8,"TĚŽKÁ",IF(AF17&gt;2,"LEHKÁ","OK"))</f>
        <v>OK</v>
      </c>
      <c r="AH17" s="7"/>
    </row>
    <row r="18" customFormat="false" ht="15" hidden="false" customHeight="false" outlineLevel="0" collapsed="false">
      <c r="A18" s="4" t="n">
        <v>15</v>
      </c>
      <c r="B18" s="17" t="n">
        <f aca="false">Parametry!$B$6^(A18-1)</f>
        <v>7.07570576448898</v>
      </c>
      <c r="C18" s="17" t="n">
        <f aca="false">Parametry!$B$7^(A18-1)</f>
        <v>2.93719362425766</v>
      </c>
      <c r="D18" s="4" t="n">
        <f aca="false">IF($A18&gt;=D$2,ROUND(D$1*Parametry!$B$7^($A18-D$2),0),0)</f>
        <v>18</v>
      </c>
      <c r="E18" s="4" t="n">
        <f aca="false">IF($A18&gt;=E$2,ROUND(E$1*Parametry!$B$7^($A18-E$2),0),0)</f>
        <v>8</v>
      </c>
      <c r="F18" s="4" t="n">
        <f aca="false">IF($A18&gt;=F$2,ROUND(F$1*Parametry!$B$7^($A18-F$2),0),0)</f>
        <v>5</v>
      </c>
      <c r="G18" s="4" t="n">
        <f aca="false">IF($A18&gt;=G$2,ROUND(G$1*Parametry!$B$7^($A18-G$2),0),0)</f>
        <v>4</v>
      </c>
      <c r="H18" s="4" t="n">
        <f aca="false">IF($A18&gt;=H$2,ROUND(H$1*Parametry!$B$7^($A18-H$2),0),0)</f>
        <v>4</v>
      </c>
      <c r="I18" s="4" t="n">
        <f aca="false">IF($A18&gt;=I$2,ROUND(I$1*Parametry!$B$7^($A18-I$2),0),0)</f>
        <v>3</v>
      </c>
      <c r="J18" s="4" t="n">
        <f aca="false">IF($A18&gt;=J$2,ROUND(J$1*Parametry!$B$7^($A18-J$2),0),0)</f>
        <v>2</v>
      </c>
      <c r="K18" s="4" t="n">
        <f aca="false">IF($A18&gt;=K$2,ROUND(K$1*Parametry!$B$7^($A18-K$2),0),0)</f>
        <v>1</v>
      </c>
      <c r="L18" s="4" t="n">
        <f aca="false">IF($A18&gt;=L$2,ROUND(L$1*Parametry!$B$7^($A18-L$2),0),0)</f>
        <v>1</v>
      </c>
      <c r="M18" s="4" t="n">
        <f aca="false">IF($A18&gt;=M$2,ROUND(M$1*Parametry!$B$7^($A18-M$2),0),0)</f>
        <v>1</v>
      </c>
      <c r="N18" s="4" t="n">
        <f aca="false">IF($A18&gt;=N$2,ROUND(N$1*Parametry!$B$7^($A18-N$2),0),0)</f>
        <v>1</v>
      </c>
      <c r="O18" s="4" t="n">
        <f aca="false">IF($A18&gt;=O$2,ROUND(O$1*Parametry!$B$7^($A18-O$2),0),0)</f>
        <v>0</v>
      </c>
      <c r="P18" s="4" t="n">
        <f aca="false">IF($A18&gt;=P$2,ROUND(P$1*Parametry!$B$7^($A18-P$2),0),0)</f>
        <v>5</v>
      </c>
      <c r="Q18" s="4" t="n">
        <f aca="false">IF($A18&gt;=Q$2,ROUND(Q$1*Parametry!$B$7^($A18-Q$2),0),0)</f>
        <v>2</v>
      </c>
      <c r="R18" s="4" t="n">
        <f aca="false">IF($A18&gt;=R$2,ROUND(R$1*Parametry!$B$7^($A18-R$2),0),0)</f>
        <v>1</v>
      </c>
      <c r="S18" s="4" t="n">
        <f aca="false">IF($A18&gt;=S$2,ROUND(S$1*Parametry!$B$7^($A18-S$2),0),0)</f>
        <v>4</v>
      </c>
      <c r="T18" s="4" t="n">
        <f aca="false">IF($A18&gt;=T$2,ROUND(T$1*Parametry!$B$7^($A18-T$2),0),0)</f>
        <v>1</v>
      </c>
      <c r="U18" s="4" t="n">
        <f aca="false">IF($A18&gt;=U$2,ROUND(U$1*Parametry!$B$7^($A18-U$2),0),0)</f>
        <v>0</v>
      </c>
      <c r="V18" s="4" t="n">
        <f aca="false">IF($A18&gt;=V$2,ROUND(V$1*Parametry!$B$7^($A18-V$2),0),0)</f>
        <v>0</v>
      </c>
      <c r="W18" s="4" t="n">
        <f aca="false">SUM(D18:V18)</f>
        <v>61</v>
      </c>
      <c r="X18" s="18" t="n">
        <f aca="false">(D18*Nepřátelé!$B$2+E18*Nepřátelé!$B$3+F18*Nepřátelé!$B$4+G18*Nepřátelé!$B$5+H18*Nepřátelé!$B$6+I18*Nepřátelé!$B$7+J18*Nepřátelé!$B$8+K18*Nepřátelé!$B$9+L18*Nepřátelé!$B$10+M18*Nepřátelé!$B$11+N18*Nepřátelé!$B$12+O18*Nepřátelé!$B$13+P18*Nepřátelé!$B$14+Q18*Nepřátelé!$B$15+R18*Nepřátelé!$B$16+S18*Nepřátelé!$B$22+T18*Nepřátelé!$B$24+U18*Nepřátelé!$B$29+V18*Nepřátelé!$B$33)*B18</f>
        <v>23774.371368683</v>
      </c>
      <c r="Y18" s="18" t="n">
        <f aca="false">(D18*Nepřátelé!$C$2+E18*Nepřátelé!$C$3+F18*Nepřátelé!$C$4+G18*Nepřátelé!$C$5+H18*Nepřátelé!$C$6+I18*Nepřátelé!$C$7+J18*Nepřátelé!$C$8+K18*Nepřátelé!$C$9+L18*Nepřátelé!$C$10+M18*Nepřátelé!$C$11+N18*Nepřátelé!$C$12+O18*Nepřátelé!$C$13+P18*Nepřátelé!$C$14+Q18*Nepřátelé!$C$15+R18*Nepřátelé!$C$16+S18*Nepřátelé!$C$22+T18*Nepřátelé!$C$24+U18*Nepřátelé!$C$29+V18*Nepřátelé!$C$33)</f>
        <v>422</v>
      </c>
      <c r="Z18" s="18" t="n">
        <f aca="false">(D18*Nepřátelé!$E$2+E18*Nepřátelé!$E$3+F18*Nepřátelé!$E$4+G18*Nepřátelé!$E$5+H18*Nepřátelé!$E$6+I18*Nepřátelé!$E$7+J18*Nepřátelé!$E$8+K18*Nepřátelé!$E$9+L18*Nepřátelé!$E$10+M18*Nepřátelé!$E$11+N18*Nepřátelé!$E$12+O18*Nepřátelé!$E$13+P18*Nepřátelé!$E$14+Q18*Nepřátelé!$E$15+R18*Nepřátelé!$E$16+S18*Nepřátelé!$E$22+T18*Nepřátelé!$E$24+U18*Nepřátelé!$E$29+V18*Nepřátelé!$E$33)*B18^Parametry!$B$12</f>
        <v>2659.41143251102</v>
      </c>
      <c r="AA18" s="18" t="n">
        <f aca="false">Parametry!$B$14+Parametry!$B$15*A18</f>
        <v>95</v>
      </c>
      <c r="AB18" s="18" t="n">
        <f aca="false">AB17+Z18+AA18</f>
        <v>12680.0093487319</v>
      </c>
      <c r="AC18" s="18" t="n">
        <f aca="false">X18/Parametry!$B$8</f>
        <v>528.31936374851</v>
      </c>
      <c r="AD18" s="18" t="n">
        <f aca="false">AC18*Parametry!$B$10</f>
        <v>369.823554623957</v>
      </c>
      <c r="AE18" s="18" t="n">
        <f aca="false">AB17*Parametry!$B$16*Zbraně!$B$40*Parametry!$B$11</f>
        <v>462.450496628801</v>
      </c>
      <c r="AF18" s="17" t="n">
        <f aca="false">IF(AD18=0,0,AE18/AD18)</f>
        <v>1.25046252691781</v>
      </c>
      <c r="AG18" s="4" t="str">
        <f aca="false">IF(AF18&lt;0.8,"TĚŽKÁ",IF(AF18&gt;2,"LEHKÁ","OK"))</f>
        <v>OK</v>
      </c>
      <c r="AH18" s="7" t="s">
        <v>332</v>
      </c>
    </row>
    <row r="19" customFormat="false" ht="15" hidden="false" customHeight="false" outlineLevel="0" collapsed="false">
      <c r="A19" s="4" t="n">
        <v>16</v>
      </c>
      <c r="B19" s="17" t="n">
        <f aca="false">Parametry!$B$6^(A19-1)</f>
        <v>8.13706162916232</v>
      </c>
      <c r="C19" s="17" t="n">
        <f aca="false">Parametry!$B$7^(A19-1)</f>
        <v>3.17216911419827</v>
      </c>
      <c r="D19" s="4" t="n">
        <f aca="false">IF($A19&gt;=D$2,ROUND(D$1*Parametry!$B$7^($A19-D$2),0),0)</f>
        <v>19</v>
      </c>
      <c r="E19" s="4" t="n">
        <f aca="false">IF($A19&gt;=E$2,ROUND(E$1*Parametry!$B$7^($A19-E$2),0),0)</f>
        <v>8</v>
      </c>
      <c r="F19" s="4" t="n">
        <f aca="false">IF($A19&gt;=F$2,ROUND(F$1*Parametry!$B$7^($A19-F$2),0),0)</f>
        <v>5</v>
      </c>
      <c r="G19" s="4" t="n">
        <f aca="false">IF($A19&gt;=G$2,ROUND(G$1*Parametry!$B$7^($A19-G$2),0),0)</f>
        <v>4</v>
      </c>
      <c r="H19" s="4" t="n">
        <f aca="false">IF($A19&gt;=H$2,ROUND(H$1*Parametry!$B$7^($A19-H$2),0),0)</f>
        <v>4</v>
      </c>
      <c r="I19" s="4" t="n">
        <f aca="false">IF($A19&gt;=I$2,ROUND(I$1*Parametry!$B$7^($A19-I$2),0),0)</f>
        <v>3</v>
      </c>
      <c r="J19" s="4" t="n">
        <f aca="false">IF($A19&gt;=J$2,ROUND(J$1*Parametry!$B$7^($A19-J$2),0),0)</f>
        <v>2</v>
      </c>
      <c r="K19" s="4" t="n">
        <f aca="false">IF($A19&gt;=K$2,ROUND(K$1*Parametry!$B$7^($A19-K$2),0),0)</f>
        <v>1</v>
      </c>
      <c r="L19" s="4" t="n">
        <f aca="false">IF($A19&gt;=L$2,ROUND(L$1*Parametry!$B$7^($A19-L$2),0),0)</f>
        <v>1</v>
      </c>
      <c r="M19" s="4" t="n">
        <f aca="false">IF($A19&gt;=M$2,ROUND(M$1*Parametry!$B$7^($A19-M$2),0),0)</f>
        <v>1</v>
      </c>
      <c r="N19" s="4" t="n">
        <f aca="false">IF($A19&gt;=N$2,ROUND(N$1*Parametry!$B$7^($A19-N$2),0),0)</f>
        <v>1</v>
      </c>
      <c r="O19" s="4" t="n">
        <f aca="false">IF($A19&gt;=O$2,ROUND(O$1*Parametry!$B$7^($A19-O$2),0),0)</f>
        <v>0</v>
      </c>
      <c r="P19" s="4" t="n">
        <f aca="false">IF($A19&gt;=P$2,ROUND(P$1*Parametry!$B$7^($A19-P$2),0),0)</f>
        <v>5</v>
      </c>
      <c r="Q19" s="4" t="n">
        <f aca="false">IF($A19&gt;=Q$2,ROUND(Q$1*Parametry!$B$7^($A19-Q$2),0),0)</f>
        <v>2</v>
      </c>
      <c r="R19" s="4" t="n">
        <f aca="false">IF($A19&gt;=R$2,ROUND(R$1*Parametry!$B$7^($A19-R$2),0),0)</f>
        <v>2</v>
      </c>
      <c r="S19" s="4" t="n">
        <f aca="false">IF($A19&gt;=S$2,ROUND(S$1*Parametry!$B$7^($A19-S$2),0),0)</f>
        <v>4</v>
      </c>
      <c r="T19" s="4" t="n">
        <f aca="false">IF($A19&gt;=T$2,ROUND(T$1*Parametry!$B$7^($A19-T$2),0),0)</f>
        <v>1</v>
      </c>
      <c r="U19" s="4" t="n">
        <f aca="false">IF($A19&gt;=U$2,ROUND(U$1*Parametry!$B$7^($A19-U$2),0),0)</f>
        <v>0</v>
      </c>
      <c r="V19" s="4" t="n">
        <f aca="false">IF($A19&gt;=V$2,ROUND(V$1*Parametry!$B$7^($A19-V$2),0),0)</f>
        <v>0</v>
      </c>
      <c r="W19" s="4" t="n">
        <f aca="false">SUM(D19:V19)</f>
        <v>63</v>
      </c>
      <c r="X19" s="18" t="n">
        <f aca="false">(D19*Nepřátelé!$B$2+E19*Nepřátelé!$B$3+F19*Nepřátelé!$B$4+G19*Nepřátelé!$B$5+H19*Nepřátelé!$B$6+I19*Nepřátelé!$B$7+J19*Nepřátelé!$B$8+K19*Nepřátelé!$B$9+L19*Nepřátelé!$B$10+M19*Nepřátelé!$B$11+N19*Nepřátelé!$B$12+O19*Nepřátelé!$B$13+P19*Nepřátelé!$B$14+Q19*Nepřátelé!$B$15+R19*Nepřátelé!$B$16+S19*Nepřátelé!$B$22+T19*Nepřátelé!$B$24+U19*Nepřátelé!$B$29+V19*Nepřátelé!$B$33)*B19</f>
        <v>28316.9744694849</v>
      </c>
      <c r="Y19" s="18" t="n">
        <f aca="false">(D19*Nepřátelé!$C$2+E19*Nepřátelé!$C$3+F19*Nepřátelé!$C$4+G19*Nepřátelé!$C$5+H19*Nepřátelé!$C$6+I19*Nepřátelé!$C$7+J19*Nepřátelé!$C$8+K19*Nepřátelé!$C$9+L19*Nepřátelé!$C$10+M19*Nepřátelé!$C$11+N19*Nepřátelé!$C$12+O19*Nepřátelé!$C$13+P19*Nepřátelé!$C$14+Q19*Nepřátelé!$C$15+R19*Nepřátelé!$C$16+S19*Nepřátelé!$C$22+T19*Nepřátelé!$C$24+U19*Nepřátelé!$C$29+V19*Nepřátelé!$C$33)</f>
        <v>432</v>
      </c>
      <c r="Z19" s="18" t="n">
        <f aca="false">(D19*Nepřátelé!$E$2+E19*Nepřátelé!$E$3+F19*Nepřátelé!$E$4+G19*Nepřátelé!$E$5+H19*Nepřátelé!$E$6+I19*Nepřátelé!$E$7+J19*Nepřátelé!$E$8+K19*Nepřátelé!$E$9+L19*Nepřátelé!$E$10+M19*Nepřátelé!$E$11+N19*Nepřátelé!$E$12+O19*Nepřátelé!$E$13+P19*Nepřátelé!$E$14+Q19*Nepřátelé!$E$15+R19*Nepřátelé!$E$16+S19*Nepřátelé!$E$22+T19*Nepřátelé!$E$24+U19*Nepřátelé!$E$29+V19*Nepřátelé!$E$33)*B19^Parametry!$B$12</f>
        <v>3049.87927469188</v>
      </c>
      <c r="AA19" s="18" t="n">
        <f aca="false">Parametry!$B$14+Parametry!$B$15*A19</f>
        <v>100</v>
      </c>
      <c r="AB19" s="18" t="n">
        <f aca="false">AB18+Z19+AA19</f>
        <v>15829.8886234238</v>
      </c>
      <c r="AC19" s="18" t="n">
        <f aca="false">X19/Parametry!$B$8</f>
        <v>629.266099321886</v>
      </c>
      <c r="AD19" s="18" t="n">
        <f aca="false">AC19*Parametry!$B$10</f>
        <v>440.48626952532</v>
      </c>
      <c r="AE19" s="18" t="n">
        <f aca="false">AB18*Parametry!$B$16*Zbraně!$B$40*Parametry!$B$11</f>
        <v>590.783212263303</v>
      </c>
      <c r="AF19" s="17" t="n">
        <f aca="false">IF(AD19=0,0,AE19/AD19)</f>
        <v>1.34120687325838</v>
      </c>
      <c r="AG19" s="4" t="str">
        <f aca="false">IF(AF19&lt;0.8,"TĚŽKÁ",IF(AF19&gt;2,"LEHKÁ","OK"))</f>
        <v>OK</v>
      </c>
      <c r="AH19" s="7"/>
    </row>
    <row r="20" customFormat="false" ht="15" hidden="false" customHeight="false" outlineLevel="0" collapsed="false">
      <c r="A20" s="4" t="n">
        <v>17</v>
      </c>
      <c r="B20" s="17" t="n">
        <f aca="false">Parametry!$B$6^(A20-1)</f>
        <v>9.35762087353667</v>
      </c>
      <c r="C20" s="17" t="n">
        <f aca="false">Parametry!$B$7^(A20-1)</f>
        <v>3.42594264333413</v>
      </c>
      <c r="D20" s="4" t="n">
        <f aca="false">IF($A20&gt;=D$2,ROUND(D$1*Parametry!$B$7^($A20-D$2),0),0)</f>
        <v>21</v>
      </c>
      <c r="E20" s="4" t="n">
        <f aca="false">IF($A20&gt;=E$2,ROUND(E$1*Parametry!$B$7^($A20-E$2),0),0)</f>
        <v>9</v>
      </c>
      <c r="F20" s="4" t="n">
        <f aca="false">IF($A20&gt;=F$2,ROUND(F$1*Parametry!$B$7^($A20-F$2),0),0)</f>
        <v>6</v>
      </c>
      <c r="G20" s="4" t="n">
        <f aca="false">IF($A20&gt;=G$2,ROUND(G$1*Parametry!$B$7^($A20-G$2),0),0)</f>
        <v>5</v>
      </c>
      <c r="H20" s="4" t="n">
        <f aca="false">IF($A20&gt;=H$2,ROUND(H$1*Parametry!$B$7^($A20-H$2),0),0)</f>
        <v>5</v>
      </c>
      <c r="I20" s="4" t="n">
        <f aca="false">IF($A20&gt;=I$2,ROUND(I$1*Parametry!$B$7^($A20-I$2),0),0)</f>
        <v>4</v>
      </c>
      <c r="J20" s="4" t="n">
        <f aca="false">IF($A20&gt;=J$2,ROUND(J$1*Parametry!$B$7^($A20-J$2),0),0)</f>
        <v>2</v>
      </c>
      <c r="K20" s="4" t="n">
        <f aca="false">IF($A20&gt;=K$2,ROUND(K$1*Parametry!$B$7^($A20-K$2),0),0)</f>
        <v>1</v>
      </c>
      <c r="L20" s="4" t="n">
        <f aca="false">IF($A20&gt;=L$2,ROUND(L$1*Parametry!$B$7^($A20-L$2),0),0)</f>
        <v>1</v>
      </c>
      <c r="M20" s="4" t="n">
        <f aca="false">IF($A20&gt;=M$2,ROUND(M$1*Parametry!$B$7^($A20-M$2),0),0)</f>
        <v>1</v>
      </c>
      <c r="N20" s="4" t="n">
        <f aca="false">IF($A20&gt;=N$2,ROUND(N$1*Parametry!$B$7^($A20-N$2),0),0)</f>
        <v>1</v>
      </c>
      <c r="O20" s="4" t="n">
        <f aca="false">IF($A20&gt;=O$2,ROUND(O$1*Parametry!$B$7^($A20-O$2),0),0)</f>
        <v>0</v>
      </c>
      <c r="P20" s="4" t="n">
        <f aca="false">IF($A20&gt;=P$2,ROUND(P$1*Parametry!$B$7^($A20-P$2),0),0)</f>
        <v>5</v>
      </c>
      <c r="Q20" s="4" t="n">
        <f aca="false">IF($A20&gt;=Q$2,ROUND(Q$1*Parametry!$B$7^($A20-Q$2),0),0)</f>
        <v>2</v>
      </c>
      <c r="R20" s="4" t="n">
        <f aca="false">IF($A20&gt;=R$2,ROUND(R$1*Parametry!$B$7^($A20-R$2),0),0)</f>
        <v>2</v>
      </c>
      <c r="S20" s="4" t="n">
        <f aca="false">IF($A20&gt;=S$2,ROUND(S$1*Parametry!$B$7^($A20-S$2),0),0)</f>
        <v>4</v>
      </c>
      <c r="T20" s="4" t="n">
        <f aca="false">IF($A20&gt;=T$2,ROUND(T$1*Parametry!$B$7^($A20-T$2),0),0)</f>
        <v>1</v>
      </c>
      <c r="U20" s="4" t="n">
        <f aca="false">IF($A20&gt;=U$2,ROUND(U$1*Parametry!$B$7^($A20-U$2),0),0)</f>
        <v>0</v>
      </c>
      <c r="V20" s="4" t="n">
        <f aca="false">IF($A20&gt;=V$2,ROUND(V$1*Parametry!$B$7^($A20-V$2),0),0)</f>
        <v>0</v>
      </c>
      <c r="W20" s="4" t="n">
        <f aca="false">SUM(D20:V20)</f>
        <v>70</v>
      </c>
      <c r="X20" s="18" t="n">
        <f aca="false">(D20*Nepřátelé!$B$2+E20*Nepřátelé!$B$3+F20*Nepřátelé!$B$4+G20*Nepřátelé!$B$5+H20*Nepřátelé!$B$6+I20*Nepřátelé!$B$7+J20*Nepřátelé!$B$8+K20*Nepřátelé!$B$9+L20*Nepřátelé!$B$10+M20*Nepřátelé!$B$11+N20*Nepřátelé!$B$12+O20*Nepřátelé!$B$13+P20*Nepřátelé!$B$14+Q20*Nepřátelé!$B$15+R20*Nepřátelé!$B$16+S20*Nepřátelé!$B$22+T20*Nepřátelé!$B$24+U20*Nepřátelé!$B$29+V20*Nepřátelé!$B$33)*B20</f>
        <v>36307.5689893223</v>
      </c>
      <c r="Y20" s="18" t="n">
        <f aca="false">(D20*Nepřátelé!$C$2+E20*Nepřátelé!$C$3+F20*Nepřátelé!$C$4+G20*Nepřátelé!$C$5+H20*Nepřátelé!$C$6+I20*Nepřátelé!$C$7+J20*Nepřátelé!$C$8+K20*Nepřátelé!$C$9+L20*Nepřátelé!$C$10+M20*Nepřátelé!$C$11+N20*Nepřátelé!$C$12+O20*Nepřátelé!$C$13+P20*Nepřátelé!$C$14+Q20*Nepřátelé!$C$15+R20*Nepřátelé!$C$16+S20*Nepřátelé!$C$22+T20*Nepřátelé!$C$24+U20*Nepřátelé!$C$29+V20*Nepřátelé!$C$33)</f>
        <v>483</v>
      </c>
      <c r="Z20" s="18" t="n">
        <f aca="false">(D20*Nepřátelé!$E$2+E20*Nepřátelé!$E$3+F20*Nepřátelé!$E$4+G20*Nepřátelé!$E$5+H20*Nepřátelé!$E$6+I20*Nepřátelé!$E$7+J20*Nepřátelé!$E$8+K20*Nepřátelé!$E$9+L20*Nepřátelé!$E$10+M20*Nepřátelé!$E$11+N20*Nepřátelé!$E$12+O20*Nepřátelé!$E$13+P20*Nepřátelé!$E$14+Q20*Nepřátelé!$E$15+R20*Nepřátelé!$E$16+S20*Nepřátelé!$E$22+T20*Nepřátelé!$E$24+U20*Nepřátelé!$E$29+V20*Nepřátelé!$E$33)*B20^Parametry!$B$12</f>
        <v>3703.02609616198</v>
      </c>
      <c r="AA20" s="18" t="n">
        <f aca="false">Parametry!$B$14+Parametry!$B$15*A20</f>
        <v>105</v>
      </c>
      <c r="AB20" s="18" t="n">
        <f aca="false">AB19+Z20+AA20</f>
        <v>19637.9147195857</v>
      </c>
      <c r="AC20" s="18" t="n">
        <f aca="false">X20/Parametry!$B$8</f>
        <v>806.834866429384</v>
      </c>
      <c r="AD20" s="18" t="n">
        <f aca="false">AC20*Parametry!$B$10</f>
        <v>564.784406500569</v>
      </c>
      <c r="AE20" s="18" t="n">
        <f aca="false">AB19*Parametry!$B$16*Zbraně!$B$40*Parametry!$B$11</f>
        <v>737.541447605628</v>
      </c>
      <c r="AF20" s="17" t="n">
        <f aca="false">IF(AD20=0,0,AE20/AD20)</f>
        <v>1.30588139317704</v>
      </c>
      <c r="AG20" s="4" t="str">
        <f aca="false">IF(AF20&lt;0.8,"TĚŽKÁ",IF(AF20&gt;2,"LEHKÁ","OK"))</f>
        <v>OK</v>
      </c>
      <c r="AH20" s="7"/>
    </row>
    <row r="21" customFormat="false" ht="15" hidden="false" customHeight="false" outlineLevel="0" collapsed="false">
      <c r="A21" s="4" t="n">
        <v>18</v>
      </c>
      <c r="B21" s="17" t="n">
        <f aca="false">Parametry!$B$6^(A21-1)</f>
        <v>10.7612640045672</v>
      </c>
      <c r="C21" s="17" t="n">
        <f aca="false">Parametry!$B$7^(A21-1)</f>
        <v>3.70001805480087</v>
      </c>
      <c r="D21" s="4" t="n">
        <f aca="false">IF($A21&gt;=D$2,ROUND(D$1*Parametry!$B$7^($A21-D$2),0),0)</f>
        <v>22</v>
      </c>
      <c r="E21" s="4" t="n">
        <f aca="false">IF($A21&gt;=E$2,ROUND(E$1*Parametry!$B$7^($A21-E$2),0),0)</f>
        <v>10</v>
      </c>
      <c r="F21" s="4" t="n">
        <f aca="false">IF($A21&gt;=F$2,ROUND(F$1*Parametry!$B$7^($A21-F$2),0),0)</f>
        <v>6</v>
      </c>
      <c r="G21" s="4" t="n">
        <f aca="false">IF($A21&gt;=G$2,ROUND(G$1*Parametry!$B$7^($A21-G$2),0),0)</f>
        <v>5</v>
      </c>
      <c r="H21" s="4" t="n">
        <f aca="false">IF($A21&gt;=H$2,ROUND(H$1*Parametry!$B$7^($A21-H$2),0),0)</f>
        <v>5</v>
      </c>
      <c r="I21" s="4" t="n">
        <f aca="false">IF($A21&gt;=I$2,ROUND(I$1*Parametry!$B$7^($A21-I$2),0),0)</f>
        <v>4</v>
      </c>
      <c r="J21" s="4" t="n">
        <f aca="false">IF($A21&gt;=J$2,ROUND(J$1*Parametry!$B$7^($A21-J$2),0),0)</f>
        <v>2</v>
      </c>
      <c r="K21" s="4" t="n">
        <f aca="false">IF($A21&gt;=K$2,ROUND(K$1*Parametry!$B$7^($A21-K$2),0),0)</f>
        <v>2</v>
      </c>
      <c r="L21" s="4" t="n">
        <f aca="false">IF($A21&gt;=L$2,ROUND(L$1*Parametry!$B$7^($A21-L$2),0),0)</f>
        <v>2</v>
      </c>
      <c r="M21" s="4" t="n">
        <f aca="false">IF($A21&gt;=M$2,ROUND(M$1*Parametry!$B$7^($A21-M$2),0),0)</f>
        <v>1</v>
      </c>
      <c r="N21" s="4" t="n">
        <f aca="false">IF($A21&gt;=N$2,ROUND(N$1*Parametry!$B$7^($A21-N$2),0),0)</f>
        <v>1</v>
      </c>
      <c r="O21" s="4" t="n">
        <f aca="false">IF($A21&gt;=O$2,ROUND(O$1*Parametry!$B$7^($A21-O$2),0),0)</f>
        <v>1</v>
      </c>
      <c r="P21" s="4" t="n">
        <f aca="false">IF($A21&gt;=P$2,ROUND(P$1*Parametry!$B$7^($A21-P$2),0),0)</f>
        <v>6</v>
      </c>
      <c r="Q21" s="4" t="n">
        <f aca="false">IF($A21&gt;=Q$2,ROUND(Q$1*Parametry!$B$7^($A21-Q$2),0),0)</f>
        <v>2</v>
      </c>
      <c r="R21" s="4" t="n">
        <f aca="false">IF($A21&gt;=R$2,ROUND(R$1*Parametry!$B$7^($A21-R$2),0),0)</f>
        <v>2</v>
      </c>
      <c r="S21" s="4" t="n">
        <f aca="false">IF($A21&gt;=S$2,ROUND(S$1*Parametry!$B$7^($A21-S$2),0),0)</f>
        <v>5</v>
      </c>
      <c r="T21" s="4" t="n">
        <f aca="false">IF($A21&gt;=T$2,ROUND(T$1*Parametry!$B$7^($A21-T$2),0),0)</f>
        <v>1</v>
      </c>
      <c r="U21" s="4" t="n">
        <f aca="false">IF($A21&gt;=U$2,ROUND(U$1*Parametry!$B$7^($A21-U$2),0),0)</f>
        <v>1</v>
      </c>
      <c r="V21" s="4" t="n">
        <f aca="false">IF($A21&gt;=V$2,ROUND(V$1*Parametry!$B$7^($A21-V$2),0),0)</f>
        <v>0</v>
      </c>
      <c r="W21" s="4" t="n">
        <f aca="false">SUM(D21:V21)</f>
        <v>78</v>
      </c>
      <c r="X21" s="18" t="n">
        <f aca="false">(D21*Nepřátelé!$B$2+E21*Nepřátelé!$B$3+F21*Nepřátelé!$B$4+G21*Nepřátelé!$B$5+H21*Nepřátelé!$B$6+I21*Nepřátelé!$B$7+J21*Nepřátelé!$B$8+K21*Nepřátelé!$B$9+L21*Nepřátelé!$B$10+M21*Nepřátelé!$B$11+N21*Nepřátelé!$B$12+O21*Nepřátelé!$B$13+P21*Nepřátelé!$B$14+Q21*Nepřátelé!$B$15+R21*Nepřátelé!$B$16+S21*Nepřátelé!$B$22+T21*Nepřátelé!$B$24+U21*Nepřátelé!$B$29+V21*Nepřátelé!$B$33)*B21</f>
        <v>45789.1783394333</v>
      </c>
      <c r="Y21" s="18" t="n">
        <f aca="false">(D21*Nepřátelé!$C$2+E21*Nepřátelé!$C$3+F21*Nepřátelé!$C$4+G21*Nepřátelé!$C$5+H21*Nepřátelé!$C$6+I21*Nepřátelé!$C$7+J21*Nepřátelé!$C$8+K21*Nepřátelé!$C$9+L21*Nepřátelé!$C$10+M21*Nepřátelé!$C$11+N21*Nepřátelé!$C$12+O21*Nepřátelé!$C$13+P21*Nepřátelé!$C$14+Q21*Nepřátelé!$C$15+R21*Nepřátelé!$C$16+S21*Nepřátelé!$C$22+T21*Nepřátelé!$C$24+U21*Nepřátelé!$C$29+V21*Nepřátelé!$C$33)</f>
        <v>524</v>
      </c>
      <c r="Z21" s="18" t="n">
        <f aca="false">(D21*Nepřátelé!$E$2+E21*Nepřátelé!$E$3+F21*Nepřátelé!$E$4+G21*Nepřátelé!$E$5+H21*Nepřátelé!$E$6+I21*Nepřátelé!$E$7+J21*Nepřátelé!$E$8+K21*Nepřátelé!$E$9+L21*Nepřátelé!$E$10+M21*Nepřátelé!$E$11+N21*Nepřátelé!$E$12+O21*Nepřátelé!$E$13+P21*Nepřátelé!$E$14+Q21*Nepřátelé!$E$15+R21*Nepřátelé!$E$16+S21*Nepřátelé!$E$22+T21*Nepřátelé!$E$24+U21*Nepřátelé!$E$29+V21*Nepřátelé!$E$33)*B21^Parametry!$B$12</f>
        <v>4790.60263169233</v>
      </c>
      <c r="AA21" s="18" t="n">
        <f aca="false">Parametry!$B$14+Parametry!$B$15*A21</f>
        <v>110</v>
      </c>
      <c r="AB21" s="18" t="n">
        <f aca="false">AB20+Z21+AA21</f>
        <v>24538.5173512781</v>
      </c>
      <c r="AC21" s="18" t="n">
        <f aca="false">X21/Parametry!$B$8</f>
        <v>1017.53729643185</v>
      </c>
      <c r="AD21" s="18" t="n">
        <f aca="false">AC21*Parametry!$B$10</f>
        <v>712.276107502296</v>
      </c>
      <c r="AE21" s="18" t="n">
        <f aca="false">AB20*Parametry!$B$16*Zbraně!$B$40*Parametry!$B$11</f>
        <v>914.96386328374</v>
      </c>
      <c r="AF21" s="17" t="n">
        <f aca="false">IF(AD21=0,0,AE21/AD21)</f>
        <v>1.28456346302588</v>
      </c>
      <c r="AG21" s="4" t="str">
        <f aca="false">IF(AF21&lt;0.8,"TĚŽKÁ",IF(AF21&gt;2,"LEHKÁ","OK"))</f>
        <v>OK</v>
      </c>
      <c r="AH21" s="7"/>
    </row>
    <row r="22" customFormat="false" ht="15" hidden="false" customHeight="false" outlineLevel="0" collapsed="false">
      <c r="A22" s="4" t="n">
        <v>19</v>
      </c>
      <c r="B22" s="17" t="n">
        <f aca="false">Parametry!$B$6^(A22-1)</f>
        <v>12.3754536052522</v>
      </c>
      <c r="C22" s="17" t="n">
        <f aca="false">Parametry!$B$7^(A22-1)</f>
        <v>3.99601949918493</v>
      </c>
      <c r="D22" s="4" t="n">
        <f aca="false">IF($A22&gt;=D$2,ROUND(D$1*Parametry!$B$7^($A22-D$2),0),0)</f>
        <v>24</v>
      </c>
      <c r="E22" s="4" t="n">
        <f aca="false">IF($A22&gt;=E$2,ROUND(E$1*Parametry!$B$7^($A22-E$2),0),0)</f>
        <v>10</v>
      </c>
      <c r="F22" s="4" t="n">
        <f aca="false">IF($A22&gt;=F$2,ROUND(F$1*Parametry!$B$7^($A22-F$2),0),0)</f>
        <v>7</v>
      </c>
      <c r="G22" s="4" t="n">
        <f aca="false">IF($A22&gt;=G$2,ROUND(G$1*Parametry!$B$7^($A22-G$2),0),0)</f>
        <v>5</v>
      </c>
      <c r="H22" s="4" t="n">
        <f aca="false">IF($A22&gt;=H$2,ROUND(H$1*Parametry!$B$7^($A22-H$2),0),0)</f>
        <v>5</v>
      </c>
      <c r="I22" s="4" t="n">
        <f aca="false">IF($A22&gt;=I$2,ROUND(I$1*Parametry!$B$7^($A22-I$2),0),0)</f>
        <v>4</v>
      </c>
      <c r="J22" s="4" t="n">
        <f aca="false">IF($A22&gt;=J$2,ROUND(J$1*Parametry!$B$7^($A22-J$2),0),0)</f>
        <v>2</v>
      </c>
      <c r="K22" s="4" t="n">
        <f aca="false">IF($A22&gt;=K$2,ROUND(K$1*Parametry!$B$7^($A22-K$2),0),0)</f>
        <v>2</v>
      </c>
      <c r="L22" s="4" t="n">
        <f aca="false">IF($A22&gt;=L$2,ROUND(L$1*Parametry!$B$7^($A22-L$2),0),0)</f>
        <v>2</v>
      </c>
      <c r="M22" s="4" t="n">
        <f aca="false">IF($A22&gt;=M$2,ROUND(M$1*Parametry!$B$7^($A22-M$2),0),0)</f>
        <v>1</v>
      </c>
      <c r="N22" s="4" t="n">
        <f aca="false">IF($A22&gt;=N$2,ROUND(N$1*Parametry!$B$7^($A22-N$2),0),0)</f>
        <v>1</v>
      </c>
      <c r="O22" s="4" t="n">
        <f aca="false">IF($A22&gt;=O$2,ROUND(O$1*Parametry!$B$7^($A22-O$2),0),0)</f>
        <v>1</v>
      </c>
      <c r="P22" s="4" t="n">
        <f aca="false">IF($A22&gt;=P$2,ROUND(P$1*Parametry!$B$7^($A22-P$2),0),0)</f>
        <v>6</v>
      </c>
      <c r="Q22" s="4" t="n">
        <f aca="false">IF($A22&gt;=Q$2,ROUND(Q$1*Parametry!$B$7^($A22-Q$2),0),0)</f>
        <v>2</v>
      </c>
      <c r="R22" s="4" t="n">
        <f aca="false">IF($A22&gt;=R$2,ROUND(R$1*Parametry!$B$7^($A22-R$2),0),0)</f>
        <v>2</v>
      </c>
      <c r="S22" s="4" t="n">
        <f aca="false">IF($A22&gt;=S$2,ROUND(S$1*Parametry!$B$7^($A22-S$2),0),0)</f>
        <v>5</v>
      </c>
      <c r="T22" s="4" t="n">
        <f aca="false">IF($A22&gt;=T$2,ROUND(T$1*Parametry!$B$7^($A22-T$2),0),0)</f>
        <v>2</v>
      </c>
      <c r="U22" s="4" t="n">
        <f aca="false">IF($A22&gt;=U$2,ROUND(U$1*Parametry!$B$7^($A22-U$2),0),0)</f>
        <v>1</v>
      </c>
      <c r="V22" s="4" t="n">
        <f aca="false">IF($A22&gt;=V$2,ROUND(V$1*Parametry!$B$7^($A22-V$2),0),0)</f>
        <v>0</v>
      </c>
      <c r="W22" s="4" t="n">
        <f aca="false">SUM(D22:V22)</f>
        <v>82</v>
      </c>
      <c r="X22" s="18" t="n">
        <f aca="false">(D22*Nepřátelé!$B$2+E22*Nepřátelé!$B$3+F22*Nepřátelé!$B$4+G22*Nepřátelé!$B$5+H22*Nepřátelé!$B$6+I22*Nepřátelé!$B$7+J22*Nepřátelé!$B$8+K22*Nepřátelé!$B$9+L22*Nepřátelé!$B$10+M22*Nepřátelé!$B$11+N22*Nepřátelé!$B$12+O22*Nepřátelé!$B$13+P22*Nepřátelé!$B$14+Q22*Nepřátelé!$B$15+R22*Nepřátelé!$B$16+S22*Nepřátelé!$B$22+T22*Nepřátelé!$B$24+U22*Nepřátelé!$B$29+V22*Nepřátelé!$B$33)*B22</f>
        <v>56865.2093161341</v>
      </c>
      <c r="Y22" s="18" t="n">
        <f aca="false">(D22*Nepřátelé!$C$2+E22*Nepřátelé!$C$3+F22*Nepřátelé!$C$4+G22*Nepřátelé!$C$5+H22*Nepřátelé!$C$6+I22*Nepřátelé!$C$7+J22*Nepřátelé!$C$8+K22*Nepřátelé!$C$9+L22*Nepřátelé!$C$10+M22*Nepřátelé!$C$11+N22*Nepřátelé!$C$12+O22*Nepřátelé!$C$13+P22*Nepřátelé!$C$14+Q22*Nepřátelé!$C$15+R22*Nepřátelé!$C$16+S22*Nepřátelé!$C$22+T22*Nepřátelé!$C$24+U22*Nepřátelé!$C$29+V22*Nepřátelé!$C$33)</f>
        <v>562</v>
      </c>
      <c r="Z22" s="18" t="n">
        <f aca="false">(D22*Nepřátelé!$E$2+E22*Nepřátelé!$E$3+F22*Nepřátelé!$E$4+G22*Nepřátelé!$E$5+H22*Nepřátelé!$E$6+I22*Nepřátelé!$E$7+J22*Nepřátelé!$E$8+K22*Nepřátelé!$E$9+L22*Nepřátelé!$E$10+M22*Nepřátelé!$E$11+N22*Nepřátelé!$E$12+O22*Nepřátelé!$E$13+P22*Nepřátelé!$E$14+Q22*Nepřátelé!$E$15+R22*Nepřátelé!$E$16+S22*Nepřátelé!$E$22+T22*Nepřátelé!$E$24+U22*Nepřátelé!$E$29+V22*Nepřátelé!$E$33)*B22^Parametry!$B$12</f>
        <v>5573.88876556306</v>
      </c>
      <c r="AA22" s="18" t="n">
        <f aca="false">Parametry!$B$14+Parametry!$B$15*A22</f>
        <v>115</v>
      </c>
      <c r="AB22" s="18" t="n">
        <f aca="false">AB21+Z22+AA22</f>
        <v>30227.4061168411</v>
      </c>
      <c r="AC22" s="18" t="n">
        <f aca="false">X22/Parametry!$B$8</f>
        <v>1263.67131813631</v>
      </c>
      <c r="AD22" s="18" t="n">
        <f aca="false">AC22*Parametry!$B$10</f>
        <v>884.569922695419</v>
      </c>
      <c r="AE22" s="18" t="n">
        <f aca="false">AB21*Parametry!$B$16*Zbraně!$B$40*Parametry!$B$11</f>
        <v>1143.29127891508</v>
      </c>
      <c r="AF22" s="17" t="n">
        <f aca="false">IF(AD22=0,0,AE22/AD22)</f>
        <v>1.29248265126549</v>
      </c>
      <c r="AG22" s="4" t="str">
        <f aca="false">IF(AF22&lt;0.8,"TĚŽKÁ",IF(AF22&gt;2,"LEHKÁ","OK"))</f>
        <v>OK</v>
      </c>
      <c r="AH22" s="7"/>
    </row>
    <row r="23" customFormat="false" ht="15" hidden="false" customHeight="false" outlineLevel="0" collapsed="false">
      <c r="A23" s="4" t="n">
        <v>20</v>
      </c>
      <c r="B23" s="17" t="n">
        <f aca="false">Parametry!$B$6^(A23-1)</f>
        <v>14.2317716460401</v>
      </c>
      <c r="C23" s="17" t="n">
        <f aca="false">Parametry!$B$7^(A23-1)</f>
        <v>4.31570105911973</v>
      </c>
      <c r="D23" s="4" t="n">
        <f aca="false">IF($A23&gt;=D$2,ROUND(D$1*Parametry!$B$7^($A23-D$2),0),0)</f>
        <v>26</v>
      </c>
      <c r="E23" s="4" t="n">
        <f aca="false">IF($A23&gt;=E$2,ROUND(E$1*Parametry!$B$7^($A23-E$2),0),0)</f>
        <v>11</v>
      </c>
      <c r="F23" s="4" t="n">
        <f aca="false">IF($A23&gt;=F$2,ROUND(F$1*Parametry!$B$7^($A23-F$2),0),0)</f>
        <v>7</v>
      </c>
      <c r="G23" s="4" t="n">
        <f aca="false">IF($A23&gt;=G$2,ROUND(G$1*Parametry!$B$7^($A23-G$2),0),0)</f>
        <v>6</v>
      </c>
      <c r="H23" s="4" t="n">
        <f aca="false">IF($A23&gt;=H$2,ROUND(H$1*Parametry!$B$7^($A23-H$2),0),0)</f>
        <v>6</v>
      </c>
      <c r="I23" s="4" t="n">
        <f aca="false">IF($A23&gt;=I$2,ROUND(I$1*Parametry!$B$7^($A23-I$2),0),0)</f>
        <v>5</v>
      </c>
      <c r="J23" s="4" t="n">
        <f aca="false">IF($A23&gt;=J$2,ROUND(J$1*Parametry!$B$7^($A23-J$2),0),0)</f>
        <v>2</v>
      </c>
      <c r="K23" s="4" t="n">
        <f aca="false">IF($A23&gt;=K$2,ROUND(K$1*Parametry!$B$7^($A23-K$2),0),0)</f>
        <v>2</v>
      </c>
      <c r="L23" s="4" t="n">
        <f aca="false">IF($A23&gt;=L$2,ROUND(L$1*Parametry!$B$7^($A23-L$2),0),0)</f>
        <v>2</v>
      </c>
      <c r="M23" s="4" t="n">
        <f aca="false">IF($A23&gt;=M$2,ROUND(M$1*Parametry!$B$7^($A23-M$2),0),0)</f>
        <v>1</v>
      </c>
      <c r="N23" s="4" t="n">
        <f aca="false">IF($A23&gt;=N$2,ROUND(N$1*Parametry!$B$7^($A23-N$2),0),0)</f>
        <v>1</v>
      </c>
      <c r="O23" s="4" t="n">
        <f aca="false">IF($A23&gt;=O$2,ROUND(O$1*Parametry!$B$7^($A23-O$2),0),0)</f>
        <v>1</v>
      </c>
      <c r="P23" s="4" t="n">
        <f aca="false">IF($A23&gt;=P$2,ROUND(P$1*Parametry!$B$7^($A23-P$2),0),0)</f>
        <v>7</v>
      </c>
      <c r="Q23" s="4" t="n">
        <f aca="false">IF($A23&gt;=Q$2,ROUND(Q$1*Parametry!$B$7^($A23-Q$2),0),0)</f>
        <v>3</v>
      </c>
      <c r="R23" s="4" t="n">
        <f aca="false">IF($A23&gt;=R$2,ROUND(R$1*Parametry!$B$7^($A23-R$2),0),0)</f>
        <v>2</v>
      </c>
      <c r="S23" s="4" t="n">
        <f aca="false">IF($A23&gt;=S$2,ROUND(S$1*Parametry!$B$7^($A23-S$2),0),0)</f>
        <v>5</v>
      </c>
      <c r="T23" s="4" t="n">
        <f aca="false">IF($A23&gt;=T$2,ROUND(T$1*Parametry!$B$7^($A23-T$2),0),0)</f>
        <v>2</v>
      </c>
      <c r="U23" s="4" t="n">
        <f aca="false">IF($A23&gt;=U$2,ROUND(U$1*Parametry!$B$7^($A23-U$2),0),0)</f>
        <v>1</v>
      </c>
      <c r="V23" s="4" t="n">
        <f aca="false">IF($A23&gt;=V$2,ROUND(V$1*Parametry!$B$7^($A23-V$2),0),0)</f>
        <v>0</v>
      </c>
      <c r="W23" s="4" t="n">
        <f aca="false">SUM(D23:V23)</f>
        <v>90</v>
      </c>
      <c r="X23" s="18" t="n">
        <f aca="false">(D23*Nepřátelé!$B$2+E23*Nepřátelé!$B$3+F23*Nepřátelé!$B$4+G23*Nepřátelé!$B$5+H23*Nepřátelé!$B$6+I23*Nepřátelé!$B$7+J23*Nepřátelé!$B$8+K23*Nepřátelé!$B$9+L23*Nepřátelé!$B$10+M23*Nepřátelé!$B$11+N23*Nepřátelé!$B$12+O23*Nepřátelé!$B$13+P23*Nepřátelé!$B$14+Q23*Nepřátelé!$B$15+R23*Nepřátelé!$B$16+S23*Nepřátelé!$B$22+T23*Nepřátelé!$B$24+U23*Nepřátelé!$B$29+V23*Nepřátelé!$B$33)*B23</f>
        <v>71799.2879542722</v>
      </c>
      <c r="Y23" s="18" t="n">
        <f aca="false">(D23*Nepřátelé!$C$2+E23*Nepřátelé!$C$3+F23*Nepřátelé!$C$4+G23*Nepřátelé!$C$5+H23*Nepřátelé!$C$6+I23*Nepřátelé!$C$7+J23*Nepřátelé!$C$8+K23*Nepřátelé!$C$9+L23*Nepřátelé!$C$10+M23*Nepřátelé!$C$11+N23*Nepřátelé!$C$12+O23*Nepřátelé!$C$13+P23*Nepřátelé!$C$14+Q23*Nepřátelé!$C$15+R23*Nepřátelé!$C$16+S23*Nepřátelé!$C$22+T23*Nepřátelé!$C$24+U23*Nepřátelé!$C$29+V23*Nepřátelé!$C$33)</f>
        <v>608</v>
      </c>
      <c r="Z23" s="18" t="n">
        <f aca="false">(D23*Nepřátelé!$E$2+E23*Nepřátelé!$E$3+F23*Nepřátelé!$E$4+G23*Nepřátelé!$E$5+H23*Nepřátelé!$E$6+I23*Nepřátelé!$E$7+J23*Nepřátelé!$E$8+K23*Nepřátelé!$E$9+L23*Nepřátelé!$E$10+M23*Nepřátelé!$E$11+N23*Nepřátelé!$E$12+O23*Nepřátelé!$E$13+P23*Nepřátelé!$E$14+Q23*Nepřátelé!$E$15+R23*Nepřátelé!$E$16+S23*Nepřátelé!$E$22+T23*Nepřátelé!$E$24+U23*Nepřátelé!$E$29+V23*Nepřátelé!$E$33)*B23^Parametry!$B$12</f>
        <v>6692.14874128169</v>
      </c>
      <c r="AA23" s="18" t="n">
        <f aca="false">Parametry!$B$14+Parametry!$B$15*A23</f>
        <v>120</v>
      </c>
      <c r="AB23" s="18" t="n">
        <f aca="false">AB22+Z23+AA23</f>
        <v>37039.5548581228</v>
      </c>
      <c r="AC23" s="18" t="n">
        <f aca="false">X23/Parametry!$B$8</f>
        <v>1595.53973231716</v>
      </c>
      <c r="AD23" s="18" t="n">
        <f aca="false">AC23*Parametry!$B$10</f>
        <v>1116.87781262201</v>
      </c>
      <c r="AE23" s="18" t="n">
        <f aca="false">AB22*Parametry!$B$16*Zbraně!$B$40*Parametry!$B$11</f>
        <v>1408.34628689613</v>
      </c>
      <c r="AF23" s="17" t="n">
        <f aca="false">IF(AD23=0,0,AE23/AD23)</f>
        <v>1.26096719890053</v>
      </c>
      <c r="AG23" s="4" t="str">
        <f aca="false">IF(AF23&lt;0.8,"TĚŽKÁ",IF(AF23&gt;2,"LEHKÁ","OK"))</f>
        <v>OK</v>
      </c>
      <c r="AH23" s="7" t="s">
        <v>333</v>
      </c>
    </row>
    <row r="24" customFormat="false" ht="15" hidden="false" customHeight="false" outlineLevel="0" collapsed="false">
      <c r="A24" s="4" t="n">
        <v>21</v>
      </c>
      <c r="B24" s="17" t="n">
        <f aca="false">Parametry!$B$6^(A24-1)</f>
        <v>16.3665373929461</v>
      </c>
      <c r="C24" s="17" t="n">
        <f aca="false">Parametry!$B$7^(A24-1)</f>
        <v>4.66095714384931</v>
      </c>
      <c r="D24" s="4" t="n">
        <f aca="false">IF($A24&gt;=D$2,ROUND(D$1*Parametry!$B$7^($A24-D$2),0),0)</f>
        <v>28</v>
      </c>
      <c r="E24" s="4" t="n">
        <f aca="false">IF($A24&gt;=E$2,ROUND(E$1*Parametry!$B$7^($A24-E$2),0),0)</f>
        <v>12</v>
      </c>
      <c r="F24" s="4" t="n">
        <f aca="false">IF($A24&gt;=F$2,ROUND(F$1*Parametry!$B$7^($A24-F$2),0),0)</f>
        <v>8</v>
      </c>
      <c r="G24" s="4" t="n">
        <f aca="false">IF($A24&gt;=G$2,ROUND(G$1*Parametry!$B$7^($A24-G$2),0),0)</f>
        <v>6</v>
      </c>
      <c r="H24" s="4" t="n">
        <f aca="false">IF($A24&gt;=H$2,ROUND(H$1*Parametry!$B$7^($A24-H$2),0),0)</f>
        <v>6</v>
      </c>
      <c r="I24" s="4" t="n">
        <f aca="false">IF($A24&gt;=I$2,ROUND(I$1*Parametry!$B$7^($A24-I$2),0),0)</f>
        <v>5</v>
      </c>
      <c r="J24" s="4" t="n">
        <f aca="false">IF($A24&gt;=J$2,ROUND(J$1*Parametry!$B$7^($A24-J$2),0),0)</f>
        <v>3</v>
      </c>
      <c r="K24" s="4" t="n">
        <f aca="false">IF($A24&gt;=K$2,ROUND(K$1*Parametry!$B$7^($A24-K$2),0),0)</f>
        <v>2</v>
      </c>
      <c r="L24" s="4" t="n">
        <f aca="false">IF($A24&gt;=L$2,ROUND(L$1*Parametry!$B$7^($A24-L$2),0),0)</f>
        <v>2</v>
      </c>
      <c r="M24" s="4" t="n">
        <f aca="false">IF($A24&gt;=M$2,ROUND(M$1*Parametry!$B$7^($A24-M$2),0),0)</f>
        <v>2</v>
      </c>
      <c r="N24" s="4" t="n">
        <f aca="false">IF($A24&gt;=N$2,ROUND(N$1*Parametry!$B$7^($A24-N$2),0),0)</f>
        <v>2</v>
      </c>
      <c r="O24" s="4" t="n">
        <f aca="false">IF($A24&gt;=O$2,ROUND(O$1*Parametry!$B$7^($A24-O$2),0),0)</f>
        <v>1</v>
      </c>
      <c r="P24" s="4" t="n">
        <f aca="false">IF($A24&gt;=P$2,ROUND(P$1*Parametry!$B$7^($A24-P$2),0),0)</f>
        <v>7</v>
      </c>
      <c r="Q24" s="4" t="n">
        <f aca="false">IF($A24&gt;=Q$2,ROUND(Q$1*Parametry!$B$7^($A24-Q$2),0),0)</f>
        <v>3</v>
      </c>
      <c r="R24" s="4" t="n">
        <f aca="false">IF($A24&gt;=R$2,ROUND(R$1*Parametry!$B$7^($A24-R$2),0),0)</f>
        <v>2</v>
      </c>
      <c r="S24" s="4" t="n">
        <f aca="false">IF($A24&gt;=S$2,ROUND(S$1*Parametry!$B$7^($A24-S$2),0),0)</f>
        <v>6</v>
      </c>
      <c r="T24" s="4" t="n">
        <f aca="false">IF($A24&gt;=T$2,ROUND(T$1*Parametry!$B$7^($A24-T$2),0),0)</f>
        <v>2</v>
      </c>
      <c r="U24" s="4" t="n">
        <f aca="false">IF($A24&gt;=U$2,ROUND(U$1*Parametry!$B$7^($A24-U$2),0),0)</f>
        <v>1</v>
      </c>
      <c r="V24" s="4" t="n">
        <f aca="false">IF($A24&gt;=V$2,ROUND(V$1*Parametry!$B$7^($A24-V$2),0),0)</f>
        <v>0</v>
      </c>
      <c r="W24" s="4" t="n">
        <f aca="false">SUM(D24:V24)</f>
        <v>98</v>
      </c>
      <c r="X24" s="18" t="n">
        <f aca="false">(D24*Nepřátelé!$B$2+E24*Nepřátelé!$B$3+F24*Nepřátelé!$B$4+G24*Nepřátelé!$B$5+H24*Nepřátelé!$B$6+I24*Nepřátelé!$B$7+J24*Nepřátelé!$B$8+K24*Nepřátelé!$B$9+L24*Nepřátelé!$B$10+M24*Nepřátelé!$B$11+N24*Nepřátelé!$B$12+O24*Nepřátelé!$B$13+P24*Nepřátelé!$B$14+Q24*Nepřátelé!$B$15+R24*Nepřátelé!$B$16+S24*Nepřátelé!$B$22+T24*Nepřátelé!$B$24+U24*Nepřátelé!$B$29+V24*Nepřátelé!$B$33)*B24</f>
        <v>91816.2747744276</v>
      </c>
      <c r="Y24" s="18" t="n">
        <f aca="false">(D24*Nepřátelé!$C$2+E24*Nepřátelé!$C$3+F24*Nepřátelé!$C$4+G24*Nepřátelé!$C$5+H24*Nepřátelé!$C$6+I24*Nepřátelé!$C$7+J24*Nepřátelé!$C$8+K24*Nepřátelé!$C$9+L24*Nepřátelé!$C$10+M24*Nepřátelé!$C$11+N24*Nepřátelé!$C$12+O24*Nepřátelé!$C$13+P24*Nepřátelé!$C$14+Q24*Nepřátelé!$C$15+R24*Nepřátelé!$C$16+S24*Nepřátelé!$C$22+T24*Nepřátelé!$C$24+U24*Nepřátelé!$C$29+V24*Nepřátelé!$C$33)</f>
        <v>719</v>
      </c>
      <c r="Z24" s="18" t="n">
        <f aca="false">(D24*Nepřátelé!$E$2+E24*Nepřátelé!$E$3+F24*Nepřátelé!$E$4+G24*Nepřátelé!$E$5+H24*Nepřátelé!$E$6+I24*Nepřátelé!$E$7+J24*Nepřátelé!$E$8+K24*Nepřátelé!$E$9+L24*Nepřátelé!$E$10+M24*Nepřátelé!$E$11+N24*Nepřátelé!$E$12+O24*Nepřátelé!$E$13+P24*Nepřátelé!$E$14+Q24*Nepřátelé!$E$15+R24*Nepřátelé!$E$16+S24*Nepřátelé!$E$22+T24*Nepřátelé!$E$24+U24*Nepřátelé!$E$29+V24*Nepřátelé!$E$33)*B24^Parametry!$B$12</f>
        <v>8271.50003868761</v>
      </c>
      <c r="AA24" s="18" t="n">
        <f aca="false">Parametry!$B$14+Parametry!$B$15*A24</f>
        <v>125</v>
      </c>
      <c r="AB24" s="18" t="n">
        <f aca="false">AB23+Z24+AA24</f>
        <v>45436.0548968104</v>
      </c>
      <c r="AC24" s="18" t="n">
        <f aca="false">X24/Parametry!$B$8</f>
        <v>2040.36166165395</v>
      </c>
      <c r="AD24" s="18" t="n">
        <f aca="false">AC24*Parametry!$B$10</f>
        <v>1428.25316315776</v>
      </c>
      <c r="AE24" s="18" t="n">
        <f aca="false">AB23*Parametry!$B$16*Zbraně!$B$40*Parametry!$B$11</f>
        <v>1725.7358885207</v>
      </c>
      <c r="AF24" s="17" t="n">
        <f aca="false">IF(AD24=0,0,AE24/AD24)</f>
        <v>1.20828431053864</v>
      </c>
      <c r="AG24" s="4" t="str">
        <f aca="false">IF(AF24&lt;0.8,"TĚŽKÁ",IF(AF24&gt;2,"LEHKÁ","OK"))</f>
        <v>OK</v>
      </c>
      <c r="AH24" s="7"/>
    </row>
    <row r="25" customFormat="false" ht="15" hidden="false" customHeight="false" outlineLevel="0" collapsed="false">
      <c r="A25" s="4" t="n">
        <v>22</v>
      </c>
      <c r="B25" s="17" t="n">
        <f aca="false">Parametry!$B$6^(A25-1)</f>
        <v>18.821518001888</v>
      </c>
      <c r="C25" s="17" t="n">
        <f aca="false">Parametry!$B$7^(A25-1)</f>
        <v>5.03383371535725</v>
      </c>
      <c r="D25" s="4" t="n">
        <f aca="false">IF($A25&gt;=D$2,ROUND(D$1*Parametry!$B$7^($A25-D$2),0),0)</f>
        <v>30</v>
      </c>
      <c r="E25" s="4" t="n">
        <f aca="false">IF($A25&gt;=E$2,ROUND(E$1*Parametry!$B$7^($A25-E$2),0),0)</f>
        <v>13</v>
      </c>
      <c r="F25" s="4" t="n">
        <f aca="false">IF($A25&gt;=F$2,ROUND(F$1*Parametry!$B$7^($A25-F$2),0),0)</f>
        <v>9</v>
      </c>
      <c r="G25" s="4" t="n">
        <f aca="false">IF($A25&gt;=G$2,ROUND(G$1*Parametry!$B$7^($A25-G$2),0),0)</f>
        <v>7</v>
      </c>
      <c r="H25" s="4" t="n">
        <f aca="false">IF($A25&gt;=H$2,ROUND(H$1*Parametry!$B$7^($A25-H$2),0),0)</f>
        <v>7</v>
      </c>
      <c r="I25" s="4" t="n">
        <f aca="false">IF($A25&gt;=I$2,ROUND(I$1*Parametry!$B$7^($A25-I$2),0),0)</f>
        <v>5</v>
      </c>
      <c r="J25" s="4" t="n">
        <f aca="false">IF($A25&gt;=J$2,ROUND(J$1*Parametry!$B$7^($A25-J$2),0),0)</f>
        <v>3</v>
      </c>
      <c r="K25" s="4" t="n">
        <f aca="false">IF($A25&gt;=K$2,ROUND(K$1*Parametry!$B$7^($A25-K$2),0),0)</f>
        <v>2</v>
      </c>
      <c r="L25" s="4" t="n">
        <f aca="false">IF($A25&gt;=L$2,ROUND(L$1*Parametry!$B$7^($A25-L$2),0),0)</f>
        <v>2</v>
      </c>
      <c r="M25" s="4" t="n">
        <f aca="false">IF($A25&gt;=M$2,ROUND(M$1*Parametry!$B$7^($A25-M$2),0),0)</f>
        <v>2</v>
      </c>
      <c r="N25" s="4" t="n">
        <f aca="false">IF($A25&gt;=N$2,ROUND(N$1*Parametry!$B$7^($A25-N$2),0),0)</f>
        <v>2</v>
      </c>
      <c r="O25" s="4" t="n">
        <f aca="false">IF($A25&gt;=O$2,ROUND(O$1*Parametry!$B$7^($A25-O$2),0),0)</f>
        <v>1</v>
      </c>
      <c r="P25" s="4" t="n">
        <f aca="false">IF($A25&gt;=P$2,ROUND(P$1*Parametry!$B$7^($A25-P$2),0),0)</f>
        <v>8</v>
      </c>
      <c r="Q25" s="4" t="n">
        <f aca="false">IF($A25&gt;=Q$2,ROUND(Q$1*Parametry!$B$7^($A25-Q$2),0),0)</f>
        <v>3</v>
      </c>
      <c r="R25" s="4" t="n">
        <f aca="false">IF($A25&gt;=R$2,ROUND(R$1*Parametry!$B$7^($A25-R$2),0),0)</f>
        <v>3</v>
      </c>
      <c r="S25" s="4" t="n">
        <f aca="false">IF($A25&gt;=S$2,ROUND(S$1*Parametry!$B$7^($A25-S$2),0),0)</f>
        <v>6</v>
      </c>
      <c r="T25" s="4" t="n">
        <f aca="false">IF($A25&gt;=T$2,ROUND(T$1*Parametry!$B$7^($A25-T$2),0),0)</f>
        <v>2</v>
      </c>
      <c r="U25" s="4" t="n">
        <f aca="false">IF($A25&gt;=U$2,ROUND(U$1*Parametry!$B$7^($A25-U$2),0),0)</f>
        <v>1</v>
      </c>
      <c r="V25" s="4" t="n">
        <f aca="false">IF($A25&gt;=V$2,ROUND(V$1*Parametry!$B$7^($A25-V$2),0),0)</f>
        <v>0</v>
      </c>
      <c r="W25" s="4" t="n">
        <f aca="false">SUM(D25:V25)</f>
        <v>106</v>
      </c>
      <c r="X25" s="18" t="n">
        <f aca="false">(D25*Nepřátelé!$B$2+E25*Nepřátelé!$B$3+F25*Nepřátelé!$B$4+G25*Nepřátelé!$B$5+H25*Nepřátelé!$B$6+I25*Nepřátelé!$B$7+J25*Nepřátelé!$B$8+K25*Nepřátelé!$B$9+L25*Nepřátelé!$B$10+M25*Nepřátelé!$B$11+N25*Nepřátelé!$B$12+O25*Nepřátelé!$B$13+P25*Nepřátelé!$B$14+Q25*Nepřátelé!$B$15+R25*Nepřátelé!$B$16+S25*Nepřátelé!$B$22+T25*Nepřátelé!$B$24+U25*Nepřátelé!$B$29+V25*Nepřátelé!$B$33)*B25</f>
        <v>115093.582581545</v>
      </c>
      <c r="Y25" s="18" t="n">
        <f aca="false">(D25*Nepřátelé!$C$2+E25*Nepřátelé!$C$3+F25*Nepřátelé!$C$4+G25*Nepřátelé!$C$5+H25*Nepřátelé!$C$6+I25*Nepřátelé!$C$7+J25*Nepřátelé!$C$8+K25*Nepřátelé!$C$9+L25*Nepřátelé!$C$10+M25*Nepřátelé!$C$11+N25*Nepřátelé!$C$12+O25*Nepřátelé!$C$13+P25*Nepřátelé!$C$14+Q25*Nepřátelé!$C$15+R25*Nepřátelé!$C$16+S25*Nepřátelé!$C$22+T25*Nepřátelé!$C$24+U25*Nepřátelé!$C$29+V25*Nepřátelé!$C$33)</f>
        <v>768</v>
      </c>
      <c r="Z25" s="18" t="n">
        <f aca="false">(D25*Nepřátelé!$E$2+E25*Nepřátelé!$E$3+F25*Nepřátelé!$E$4+G25*Nepřátelé!$E$5+H25*Nepřátelé!$E$6+I25*Nepřátelé!$E$7+J25*Nepřátelé!$E$8+K25*Nepřátelé!$E$9+L25*Nepřátelé!$E$10+M25*Nepřátelé!$E$11+N25*Nepřátelé!$E$12+O25*Nepřátelé!$E$13+P25*Nepřátelé!$E$14+Q25*Nepřátelé!$E$15+R25*Nepřátelé!$E$16+S25*Nepřátelé!$E$22+T25*Nepřátelé!$E$24+U25*Nepřátelé!$E$29+V25*Nepřátelé!$E$33)*B25^Parametry!$B$12</f>
        <v>9784.88643866452</v>
      </c>
      <c r="AA25" s="18" t="n">
        <f aca="false">Parametry!$B$14+Parametry!$B$15*A25</f>
        <v>130</v>
      </c>
      <c r="AB25" s="18" t="n">
        <f aca="false">AB24+Z25+AA25</f>
        <v>55350.941335475</v>
      </c>
      <c r="AC25" s="18" t="n">
        <f aca="false">X25/Parametry!$B$8</f>
        <v>2557.63516847878</v>
      </c>
      <c r="AD25" s="18" t="n">
        <f aca="false">AC25*Parametry!$B$10</f>
        <v>1790.34461793515</v>
      </c>
      <c r="AE25" s="18" t="n">
        <f aca="false">AB24*Parametry!$B$16*Zbraně!$B$40*Parametry!$B$11</f>
        <v>2116.94311307381</v>
      </c>
      <c r="AF25" s="17" t="n">
        <f aca="false">IF(AD25=0,0,AE25/AD25)</f>
        <v>1.1824221392166</v>
      </c>
      <c r="AG25" s="4" t="str">
        <f aca="false">IF(AF25&lt;0.8,"TĚŽKÁ",IF(AF25&gt;2,"LEHKÁ","OK"))</f>
        <v>OK</v>
      </c>
      <c r="AH25" s="7"/>
    </row>
    <row r="26" customFormat="false" ht="15" hidden="false" customHeight="false" outlineLevel="0" collapsed="false">
      <c r="A26" s="4" t="n">
        <v>23</v>
      </c>
      <c r="B26" s="17" t="n">
        <f aca="false">Parametry!$B$6^(A26-1)</f>
        <v>21.6447457021712</v>
      </c>
      <c r="C26" s="17" t="n">
        <f aca="false">Parametry!$B$7^(A26-1)</f>
        <v>5.43654041258583</v>
      </c>
      <c r="D26" s="4" t="n">
        <f aca="false">IF($A26&gt;=D$2,ROUND(D$1*Parametry!$B$7^($A26-D$2),0),0)</f>
        <v>33</v>
      </c>
      <c r="E26" s="4" t="n">
        <f aca="false">IF($A26&gt;=E$2,ROUND(E$1*Parametry!$B$7^($A26-E$2),0),0)</f>
        <v>14</v>
      </c>
      <c r="F26" s="4" t="n">
        <f aca="false">IF($A26&gt;=F$2,ROUND(F$1*Parametry!$B$7^($A26-F$2),0),0)</f>
        <v>9</v>
      </c>
      <c r="G26" s="4" t="n">
        <f aca="false">IF($A26&gt;=G$2,ROUND(G$1*Parametry!$B$7^($A26-G$2),0),0)</f>
        <v>7</v>
      </c>
      <c r="H26" s="4" t="n">
        <f aca="false">IF($A26&gt;=H$2,ROUND(H$1*Parametry!$B$7^($A26-H$2),0),0)</f>
        <v>7</v>
      </c>
      <c r="I26" s="4" t="n">
        <f aca="false">IF($A26&gt;=I$2,ROUND(I$1*Parametry!$B$7^($A26-I$2),0),0)</f>
        <v>6</v>
      </c>
      <c r="J26" s="4" t="n">
        <f aca="false">IF($A26&gt;=J$2,ROUND(J$1*Parametry!$B$7^($A26-J$2),0),0)</f>
        <v>3</v>
      </c>
      <c r="K26" s="4" t="n">
        <f aca="false">IF($A26&gt;=K$2,ROUND(K$1*Parametry!$B$7^($A26-K$2),0),0)</f>
        <v>2</v>
      </c>
      <c r="L26" s="4" t="n">
        <f aca="false">IF($A26&gt;=L$2,ROUND(L$1*Parametry!$B$7^($A26-L$2),0),0)</f>
        <v>2</v>
      </c>
      <c r="M26" s="4" t="n">
        <f aca="false">IF($A26&gt;=M$2,ROUND(M$1*Parametry!$B$7^($A26-M$2),0),0)</f>
        <v>2</v>
      </c>
      <c r="N26" s="4" t="n">
        <f aca="false">IF($A26&gt;=N$2,ROUND(N$1*Parametry!$B$7^($A26-N$2),0),0)</f>
        <v>2</v>
      </c>
      <c r="O26" s="4" t="n">
        <f aca="false">IF($A26&gt;=O$2,ROUND(O$1*Parametry!$B$7^($A26-O$2),0),0)</f>
        <v>1</v>
      </c>
      <c r="P26" s="4" t="n">
        <f aca="false">IF($A26&gt;=P$2,ROUND(P$1*Parametry!$B$7^($A26-P$2),0),0)</f>
        <v>9</v>
      </c>
      <c r="Q26" s="4" t="n">
        <f aca="false">IF($A26&gt;=Q$2,ROUND(Q$1*Parametry!$B$7^($A26-Q$2),0),0)</f>
        <v>3</v>
      </c>
      <c r="R26" s="4" t="n">
        <f aca="false">IF($A26&gt;=R$2,ROUND(R$1*Parametry!$B$7^($A26-R$2),0),0)</f>
        <v>3</v>
      </c>
      <c r="S26" s="4" t="n">
        <f aca="false">IF($A26&gt;=S$2,ROUND(S$1*Parametry!$B$7^($A26-S$2),0),0)</f>
        <v>7</v>
      </c>
      <c r="T26" s="4" t="n">
        <f aca="false">IF($A26&gt;=T$2,ROUND(T$1*Parametry!$B$7^($A26-T$2),0),0)</f>
        <v>2</v>
      </c>
      <c r="U26" s="4" t="n">
        <f aca="false">IF($A26&gt;=U$2,ROUND(U$1*Parametry!$B$7^($A26-U$2),0),0)</f>
        <v>1</v>
      </c>
      <c r="V26" s="4" t="n">
        <f aca="false">IF($A26&gt;=V$2,ROUND(V$1*Parametry!$B$7^($A26-V$2),0),0)</f>
        <v>0</v>
      </c>
      <c r="W26" s="4" t="n">
        <f aca="false">SUM(D26:V26)</f>
        <v>113</v>
      </c>
      <c r="X26" s="18" t="n">
        <f aca="false">(D26*Nepřátelé!$B$2+E26*Nepřátelé!$B$3+F26*Nepřátelé!$B$4+G26*Nepřátelé!$B$5+H26*Nepřátelé!$B$6+I26*Nepřátelé!$B$7+J26*Nepřátelé!$B$8+K26*Nepřátelé!$B$9+L26*Nepřátelé!$B$10+M26*Nepřátelé!$B$11+N26*Nepřátelé!$B$12+O26*Nepřátelé!$B$13+P26*Nepřátelé!$B$14+Q26*Nepřátelé!$B$15+R26*Nepřátelé!$B$16+S26*Nepřátelé!$B$22+T26*Nepřátelé!$B$24+U26*Nepřátelé!$B$29+V26*Nepřátelé!$B$33)*B26</f>
        <v>137877.030122831</v>
      </c>
      <c r="Y26" s="18" t="n">
        <f aca="false">(D26*Nepřátelé!$C$2+E26*Nepřátelé!$C$3+F26*Nepřátelé!$C$4+G26*Nepřátelé!$C$5+H26*Nepřátelé!$C$6+I26*Nepřátelé!$C$7+J26*Nepřátelé!$C$8+K26*Nepřátelé!$C$9+L26*Nepřátelé!$C$10+M26*Nepřátelé!$C$11+N26*Nepřátelé!$C$12+O26*Nepřátelé!$C$13+P26*Nepřátelé!$C$14+Q26*Nepřátelé!$C$15+R26*Nepřátelé!$C$16+S26*Nepřátelé!$C$22+T26*Nepřátelé!$C$24+U26*Nepřátelé!$C$29+V26*Nepřátelé!$C$33)</f>
        <v>804</v>
      </c>
      <c r="Z26" s="18" t="n">
        <f aca="false">(D26*Nepřátelé!$E$2+E26*Nepřátelé!$E$3+F26*Nepřátelé!$E$4+G26*Nepřátelé!$E$5+H26*Nepřátelé!$E$6+I26*Nepřátelé!$E$7+J26*Nepřátelé!$E$8+K26*Nepřátelé!$E$9+L26*Nepřátelé!$E$10+M26*Nepřátelé!$E$11+N26*Nepřátelé!$E$12+O26*Nepřátelé!$E$13+P26*Nepřátelé!$E$14+Q26*Nepřátelé!$E$15+R26*Nepřátelé!$E$16+S26*Nepřátelé!$E$22+T26*Nepřátelé!$E$24+U26*Nepřátelé!$E$29+V26*Nepřátelé!$E$33)*B26^Parametry!$B$12</f>
        <v>11263.8378005762</v>
      </c>
      <c r="AA26" s="18" t="n">
        <f aca="false">Parametry!$B$14+Parametry!$B$15*A26</f>
        <v>135</v>
      </c>
      <c r="AB26" s="18" t="n">
        <f aca="false">AB25+Z26+AA26</f>
        <v>66749.7791360511</v>
      </c>
      <c r="AC26" s="18" t="n">
        <f aca="false">X26/Parametry!$B$8</f>
        <v>3063.93400272957</v>
      </c>
      <c r="AD26" s="18" t="n">
        <f aca="false">AC26*Parametry!$B$10</f>
        <v>2144.7538019107</v>
      </c>
      <c r="AE26" s="18" t="n">
        <f aca="false">AB25*Parametry!$B$16*Zbraně!$B$40*Parametry!$B$11</f>
        <v>2578.89454373627</v>
      </c>
      <c r="AF26" s="17" t="n">
        <f aca="false">IF(AD26=0,0,AE26/AD26)</f>
        <v>1.20241984951317</v>
      </c>
      <c r="AG26" s="4" t="str">
        <f aca="false">IF(AF26&lt;0.8,"TĚŽKÁ",IF(AF26&gt;2,"LEHKÁ","OK"))</f>
        <v>OK</v>
      </c>
      <c r="AH26" s="7"/>
    </row>
    <row r="27" customFormat="false" ht="15" hidden="false" customHeight="false" outlineLevel="0" collapsed="false">
      <c r="A27" s="4" t="n">
        <v>24</v>
      </c>
      <c r="B27" s="17" t="n">
        <f aca="false">Parametry!$B$6^(A27-1)</f>
        <v>24.8914575574969</v>
      </c>
      <c r="C27" s="17" t="n">
        <f aca="false">Parametry!$B$7^(A27-1)</f>
        <v>5.8714636455927</v>
      </c>
      <c r="D27" s="4" t="n">
        <f aca="false">IF($A27&gt;=D$2,ROUND(D$1*Parametry!$B$7^($A27-D$2),0),0)</f>
        <v>35</v>
      </c>
      <c r="E27" s="4" t="n">
        <f aca="false">IF($A27&gt;=E$2,ROUND(E$1*Parametry!$B$7^($A27-E$2),0),0)</f>
        <v>15</v>
      </c>
      <c r="F27" s="4" t="n">
        <f aca="false">IF($A27&gt;=F$2,ROUND(F$1*Parametry!$B$7^($A27-F$2),0),0)</f>
        <v>10</v>
      </c>
      <c r="G27" s="4" t="n">
        <f aca="false">IF($A27&gt;=G$2,ROUND(G$1*Parametry!$B$7^($A27-G$2),0),0)</f>
        <v>8</v>
      </c>
      <c r="H27" s="4" t="n">
        <f aca="false">IF($A27&gt;=H$2,ROUND(H$1*Parametry!$B$7^($A27-H$2),0),0)</f>
        <v>8</v>
      </c>
      <c r="I27" s="4" t="n">
        <f aca="false">IF($A27&gt;=I$2,ROUND(I$1*Parametry!$B$7^($A27-I$2),0),0)</f>
        <v>6</v>
      </c>
      <c r="J27" s="4" t="n">
        <f aca="false">IF($A27&gt;=J$2,ROUND(J$1*Parametry!$B$7^($A27-J$2),0),0)</f>
        <v>3</v>
      </c>
      <c r="K27" s="4" t="n">
        <f aca="false">IF($A27&gt;=K$2,ROUND(K$1*Parametry!$B$7^($A27-K$2),0),0)</f>
        <v>3</v>
      </c>
      <c r="L27" s="4" t="n">
        <f aca="false">IF($A27&gt;=L$2,ROUND(L$1*Parametry!$B$7^($A27-L$2),0),0)</f>
        <v>3</v>
      </c>
      <c r="M27" s="4" t="n">
        <f aca="false">IF($A27&gt;=M$2,ROUND(M$1*Parametry!$B$7^($A27-M$2),0),0)</f>
        <v>2</v>
      </c>
      <c r="N27" s="4" t="n">
        <f aca="false">IF($A27&gt;=N$2,ROUND(N$1*Parametry!$B$7^($A27-N$2),0),0)</f>
        <v>2</v>
      </c>
      <c r="O27" s="4" t="n">
        <f aca="false">IF($A27&gt;=O$2,ROUND(O$1*Parametry!$B$7^($A27-O$2),0),0)</f>
        <v>2</v>
      </c>
      <c r="P27" s="4" t="n">
        <f aca="false">IF($A27&gt;=P$2,ROUND(P$1*Parametry!$B$7^($A27-P$2),0),0)</f>
        <v>9</v>
      </c>
      <c r="Q27" s="4" t="n">
        <f aca="false">IF($A27&gt;=Q$2,ROUND(Q$1*Parametry!$B$7^($A27-Q$2),0),0)</f>
        <v>3</v>
      </c>
      <c r="R27" s="4" t="n">
        <f aca="false">IF($A27&gt;=R$2,ROUND(R$1*Parametry!$B$7^($A27-R$2),0),0)</f>
        <v>3</v>
      </c>
      <c r="S27" s="4" t="n">
        <f aca="false">IF($A27&gt;=S$2,ROUND(S$1*Parametry!$B$7^($A27-S$2),0),0)</f>
        <v>7</v>
      </c>
      <c r="T27" s="4" t="n">
        <f aca="false">IF($A27&gt;=T$2,ROUND(T$1*Parametry!$B$7^($A27-T$2),0),0)</f>
        <v>2</v>
      </c>
      <c r="U27" s="4" t="n">
        <f aca="false">IF($A27&gt;=U$2,ROUND(U$1*Parametry!$B$7^($A27-U$2),0),0)</f>
        <v>2</v>
      </c>
      <c r="V27" s="4" t="n">
        <f aca="false">IF($A27&gt;=V$2,ROUND(V$1*Parametry!$B$7^($A27-V$2),0),0)</f>
        <v>0</v>
      </c>
      <c r="W27" s="4" t="n">
        <f aca="false">SUM(D27:V27)</f>
        <v>123</v>
      </c>
      <c r="X27" s="18" t="n">
        <f aca="false">(D27*Nepřátelé!$B$2+E27*Nepřátelé!$B$3+F27*Nepřátelé!$B$4+G27*Nepřátelé!$B$5+H27*Nepřátelé!$B$6+I27*Nepřátelé!$B$7+J27*Nepřátelé!$B$8+K27*Nepřátelé!$B$9+L27*Nepřátelé!$B$10+M27*Nepřátelé!$B$11+N27*Nepřátelé!$B$12+O27*Nepřátelé!$B$13+P27*Nepřátelé!$B$14+Q27*Nepřátelé!$B$15+R27*Nepřátelé!$B$16+S27*Nepřátelé!$B$22+T27*Nepřátelé!$B$24+U27*Nepřátelé!$B$29+V27*Nepřátelé!$B$33)*B27</f>
        <v>172995.630024603</v>
      </c>
      <c r="Y27" s="18" t="n">
        <f aca="false">(D27*Nepřátelé!$C$2+E27*Nepřátelé!$C$3+F27*Nepřátelé!$C$4+G27*Nepřátelé!$C$5+H27*Nepřátelé!$C$6+I27*Nepřátelé!$C$7+J27*Nepřátelé!$C$8+K27*Nepřátelé!$C$9+L27*Nepřátelé!$C$10+M27*Nepřátelé!$C$11+N27*Nepřátelé!$C$12+O27*Nepřátelé!$C$13+P27*Nepřátelé!$C$14+Q27*Nepřátelé!$C$15+R27*Nepřátelé!$C$16+S27*Nepřátelé!$C$22+T27*Nepřátelé!$C$24+U27*Nepřátelé!$C$29+V27*Nepřátelé!$C$33)</f>
        <v>868</v>
      </c>
      <c r="Z27" s="18" t="n">
        <f aca="false">(D27*Nepřátelé!$E$2+E27*Nepřátelé!$E$3+F27*Nepřátelé!$E$4+G27*Nepřátelé!$E$5+H27*Nepřátelé!$E$6+I27*Nepřátelé!$E$7+J27*Nepřátelé!$E$8+K27*Nepřátelé!$E$9+L27*Nepřátelé!$E$10+M27*Nepřátelé!$E$11+N27*Nepřátelé!$E$12+O27*Nepřátelé!$E$13+P27*Nepřátelé!$E$14+Q27*Nepřátelé!$E$15+R27*Nepřátelé!$E$16+S27*Nepřátelé!$E$22+T27*Nepřátelé!$E$24+U27*Nepřátelé!$E$29+V27*Nepřátelé!$E$33)*B27^Parametry!$B$12</f>
        <v>13939.8154927669</v>
      </c>
      <c r="AA27" s="18" t="n">
        <f aca="false">Parametry!$B$14+Parametry!$B$15*A27</f>
        <v>140</v>
      </c>
      <c r="AB27" s="18" t="n">
        <f aca="false">AB26+Z27+AA27</f>
        <v>80829.5946288181</v>
      </c>
      <c r="AC27" s="18" t="n">
        <f aca="false">X27/Parametry!$B$8</f>
        <v>3844.34733388007</v>
      </c>
      <c r="AD27" s="18" t="n">
        <f aca="false">AC27*Parametry!$B$10</f>
        <v>2691.04313371605</v>
      </c>
      <c r="AE27" s="18" t="n">
        <f aca="false">AB26*Parametry!$B$16*Zbraně!$B$40*Parametry!$B$11</f>
        <v>3109.98579348888</v>
      </c>
      <c r="AF27" s="17" t="n">
        <f aca="false">IF(AD27=0,0,AE27/AD27)</f>
        <v>1.15568039565175</v>
      </c>
      <c r="AG27" s="4" t="str">
        <f aca="false">IF(AF27&lt;0.8,"TĚŽKÁ",IF(AF27&gt;2,"LEHKÁ","OK"))</f>
        <v>OK</v>
      </c>
      <c r="AH27" s="7"/>
    </row>
    <row r="28" customFormat="false" ht="15" hidden="false" customHeight="false" outlineLevel="0" collapsed="false">
      <c r="A28" s="4" t="n">
        <v>25</v>
      </c>
      <c r="B28" s="17" t="n">
        <f aca="false">Parametry!$B$6^(A28-1)</f>
        <v>28.6251761911214</v>
      </c>
      <c r="C28" s="17" t="n">
        <f aca="false">Parametry!$B$7^(A28-1)</f>
        <v>6.34118073724012</v>
      </c>
      <c r="D28" s="4" t="n">
        <f aca="false">IF($A28&gt;=D$2,ROUND(D$1*Parametry!$B$7^($A28-D$2),0),0)</f>
        <v>38</v>
      </c>
      <c r="E28" s="4" t="n">
        <f aca="false">IF($A28&gt;=E$2,ROUND(E$1*Parametry!$B$7^($A28-E$2),0),0)</f>
        <v>16</v>
      </c>
      <c r="F28" s="4" t="n">
        <f aca="false">IF($A28&gt;=F$2,ROUND(F$1*Parametry!$B$7^($A28-F$2),0),0)</f>
        <v>11</v>
      </c>
      <c r="G28" s="4" t="n">
        <f aca="false">IF($A28&gt;=G$2,ROUND(G$1*Parametry!$B$7^($A28-G$2),0),0)</f>
        <v>9</v>
      </c>
      <c r="H28" s="4" t="n">
        <f aca="false">IF($A28&gt;=H$2,ROUND(H$1*Parametry!$B$7^($A28-H$2),0),0)</f>
        <v>9</v>
      </c>
      <c r="I28" s="4" t="n">
        <f aca="false">IF($A28&gt;=I$2,ROUND(I$1*Parametry!$B$7^($A28-I$2),0),0)</f>
        <v>7</v>
      </c>
      <c r="J28" s="4" t="n">
        <f aca="false">IF($A28&gt;=J$2,ROUND(J$1*Parametry!$B$7^($A28-J$2),0),0)</f>
        <v>3</v>
      </c>
      <c r="K28" s="4" t="n">
        <f aca="false">IF($A28&gt;=K$2,ROUND(K$1*Parametry!$B$7^($A28-K$2),0),0)</f>
        <v>3</v>
      </c>
      <c r="L28" s="4" t="n">
        <f aca="false">IF($A28&gt;=L$2,ROUND(L$1*Parametry!$B$7^($A28-L$2),0),0)</f>
        <v>3</v>
      </c>
      <c r="M28" s="4" t="n">
        <f aca="false">IF($A28&gt;=M$2,ROUND(M$1*Parametry!$B$7^($A28-M$2),0),0)</f>
        <v>2</v>
      </c>
      <c r="N28" s="4" t="n">
        <f aca="false">IF($A28&gt;=N$2,ROUND(N$1*Parametry!$B$7^($A28-N$2),0),0)</f>
        <v>2</v>
      </c>
      <c r="O28" s="4" t="n">
        <f aca="false">IF($A28&gt;=O$2,ROUND(O$1*Parametry!$B$7^($A28-O$2),0),0)</f>
        <v>2</v>
      </c>
      <c r="P28" s="4" t="n">
        <f aca="false">IF($A28&gt;=P$2,ROUND(P$1*Parametry!$B$7^($A28-P$2),0),0)</f>
        <v>10</v>
      </c>
      <c r="Q28" s="4" t="n">
        <f aca="false">IF($A28&gt;=Q$2,ROUND(Q$1*Parametry!$B$7^($A28-Q$2),0),0)</f>
        <v>4</v>
      </c>
      <c r="R28" s="4" t="n">
        <f aca="false">IF($A28&gt;=R$2,ROUND(R$1*Parametry!$B$7^($A28-R$2),0),0)</f>
        <v>3</v>
      </c>
      <c r="S28" s="4" t="n">
        <f aca="false">IF($A28&gt;=S$2,ROUND(S$1*Parametry!$B$7^($A28-S$2),0),0)</f>
        <v>8</v>
      </c>
      <c r="T28" s="4" t="n">
        <f aca="false">IF($A28&gt;=T$2,ROUND(T$1*Parametry!$B$7^($A28-T$2),0),0)</f>
        <v>3</v>
      </c>
      <c r="U28" s="4" t="n">
        <f aca="false">IF($A28&gt;=U$2,ROUND(U$1*Parametry!$B$7^($A28-U$2),0),0)</f>
        <v>2</v>
      </c>
      <c r="V28" s="4" t="n">
        <f aca="false">IF($A28&gt;=V$2,ROUND(V$1*Parametry!$B$7^($A28-V$2),0),0)</f>
        <v>0</v>
      </c>
      <c r="W28" s="4" t="n">
        <f aca="false">SUM(D28:V28)</f>
        <v>135</v>
      </c>
      <c r="X28" s="18" t="n">
        <f aca="false">(D28*Nepřátelé!$B$2+E28*Nepřátelé!$B$3+F28*Nepřátelé!$B$4+G28*Nepřátelé!$B$5+H28*Nepřátelé!$B$6+I28*Nepřátelé!$B$7+J28*Nepřátelé!$B$8+K28*Nepřátelé!$B$9+L28*Nepřátelé!$B$10+M28*Nepřátelé!$B$11+N28*Nepřátelé!$B$12+O28*Nepřátelé!$B$13+P28*Nepřátelé!$B$14+Q28*Nepřátelé!$B$15+R28*Nepřátelé!$B$16+S28*Nepřátelé!$B$22+T28*Nepřátelé!$B$24+U28*Nepřátelé!$B$29+V28*Nepřátelé!$B$33)*B28</f>
        <v>221988.241362146</v>
      </c>
      <c r="Y28" s="18" t="n">
        <f aca="false">(D28*Nepřátelé!$C$2+E28*Nepřátelé!$C$3+F28*Nepřátelé!$C$4+G28*Nepřátelé!$C$5+H28*Nepřátelé!$C$6+I28*Nepřátelé!$C$7+J28*Nepřátelé!$C$8+K28*Nepřátelé!$C$9+L28*Nepřátelé!$C$10+M28*Nepřátelé!$C$11+N28*Nepřátelé!$C$12+O28*Nepřátelé!$C$13+P28*Nepřátelé!$C$14+Q28*Nepřátelé!$C$15+R28*Nepřátelé!$C$16+S28*Nepřátelé!$C$22+T28*Nepřátelé!$C$24+U28*Nepřátelé!$C$29+V28*Nepřátelé!$C$33)</f>
        <v>953</v>
      </c>
      <c r="Z28" s="18" t="n">
        <f aca="false">(D28*Nepřátelé!$E$2+E28*Nepřátelé!$E$3+F28*Nepřátelé!$E$4+G28*Nepřátelé!$E$5+H28*Nepřátelé!$E$6+I28*Nepřátelé!$E$7+J28*Nepřátelé!$E$8+K28*Nepřátelé!$E$9+L28*Nepřátelé!$E$10+M28*Nepřátelé!$E$11+N28*Nepřátelé!$E$12+O28*Nepřátelé!$E$13+P28*Nepřátelé!$E$14+Q28*Nepřátelé!$E$15+R28*Nepřátelé!$E$16+S28*Nepřátelé!$E$22+T28*Nepřátelé!$E$24+U28*Nepřátelé!$E$29+V28*Nepřátelé!$E$33)*B28^Parametry!$B$12</f>
        <v>16858.5127358127</v>
      </c>
      <c r="AA28" s="18" t="n">
        <f aca="false">Parametry!$B$14+Parametry!$B$15*A28</f>
        <v>145</v>
      </c>
      <c r="AB28" s="18" t="n">
        <f aca="false">AB27+Z28+AA28</f>
        <v>97833.1073646308</v>
      </c>
      <c r="AC28" s="18" t="n">
        <f aca="false">X28/Parametry!$B$8</f>
        <v>4933.07203026992</v>
      </c>
      <c r="AD28" s="18" t="n">
        <f aca="false">AC28*Parametry!$B$10</f>
        <v>3453.15042118895</v>
      </c>
      <c r="AE28" s="18" t="n">
        <f aca="false">AB27*Parametry!$B$16*Zbraně!$B$40*Parametry!$B$11</f>
        <v>3765.98835595728</v>
      </c>
      <c r="AF28" s="17" t="n">
        <f aca="false">IF(AD28=0,0,AE28/AD28)</f>
        <v>1.0905949340778</v>
      </c>
      <c r="AG28" s="4" t="str">
        <f aca="false">IF(AF28&lt;0.8,"TĚŽKÁ",IF(AF28&gt;2,"LEHKÁ","OK"))</f>
        <v>OK</v>
      </c>
      <c r="AH28" s="7" t="s">
        <v>332</v>
      </c>
    </row>
    <row r="29" customFormat="false" ht="15" hidden="false" customHeight="false" outlineLevel="0" collapsed="false">
      <c r="A29" s="4" t="n">
        <v>26</v>
      </c>
      <c r="B29" s="17" t="n">
        <f aca="false">Parametry!$B$6^(A29-1)</f>
        <v>32.9189526197896</v>
      </c>
      <c r="C29" s="17" t="n">
        <f aca="false">Parametry!$B$7^(A29-1)</f>
        <v>6.84847519621933</v>
      </c>
      <c r="D29" s="4" t="n">
        <f aca="false">IF($A29&gt;=D$2,ROUND(D$1*Parametry!$B$7^($A29-D$2),0),0)</f>
        <v>41</v>
      </c>
      <c r="E29" s="4" t="n">
        <f aca="false">IF($A29&gt;=E$2,ROUND(E$1*Parametry!$B$7^($A29-E$2),0),0)</f>
        <v>18</v>
      </c>
      <c r="F29" s="4" t="n">
        <f aca="false">IF($A29&gt;=F$2,ROUND(F$1*Parametry!$B$7^($A29-F$2),0),0)</f>
        <v>12</v>
      </c>
      <c r="G29" s="4" t="n">
        <f aca="false">IF($A29&gt;=G$2,ROUND(G$1*Parametry!$B$7^($A29-G$2),0),0)</f>
        <v>9</v>
      </c>
      <c r="H29" s="4" t="n">
        <f aca="false">IF($A29&gt;=H$2,ROUND(H$1*Parametry!$B$7^($A29-H$2),0),0)</f>
        <v>9</v>
      </c>
      <c r="I29" s="4" t="n">
        <f aca="false">IF($A29&gt;=I$2,ROUND(I$1*Parametry!$B$7^($A29-I$2),0),0)</f>
        <v>7</v>
      </c>
      <c r="J29" s="4" t="n">
        <f aca="false">IF($A29&gt;=J$2,ROUND(J$1*Parametry!$B$7^($A29-J$2),0),0)</f>
        <v>4</v>
      </c>
      <c r="K29" s="4" t="n">
        <f aca="false">IF($A29&gt;=K$2,ROUND(K$1*Parametry!$B$7^($A29-K$2),0),0)</f>
        <v>3</v>
      </c>
      <c r="L29" s="4" t="n">
        <f aca="false">IF($A29&gt;=L$2,ROUND(L$1*Parametry!$B$7^($A29-L$2),0),0)</f>
        <v>3</v>
      </c>
      <c r="M29" s="4" t="n">
        <f aca="false">IF($A29&gt;=M$2,ROUND(M$1*Parametry!$B$7^($A29-M$2),0),0)</f>
        <v>2</v>
      </c>
      <c r="N29" s="4" t="n">
        <f aca="false">IF($A29&gt;=N$2,ROUND(N$1*Parametry!$B$7^($A29-N$2),0),0)</f>
        <v>2</v>
      </c>
      <c r="O29" s="4" t="n">
        <f aca="false">IF($A29&gt;=O$2,ROUND(O$1*Parametry!$B$7^($A29-O$2),0),0)</f>
        <v>2</v>
      </c>
      <c r="P29" s="4" t="n">
        <f aca="false">IF($A29&gt;=P$2,ROUND(P$1*Parametry!$B$7^($A29-P$2),0),0)</f>
        <v>11</v>
      </c>
      <c r="Q29" s="4" t="n">
        <f aca="false">IF($A29&gt;=Q$2,ROUND(Q$1*Parametry!$B$7^($A29-Q$2),0),0)</f>
        <v>4</v>
      </c>
      <c r="R29" s="4" t="n">
        <f aca="false">IF($A29&gt;=R$2,ROUND(R$1*Parametry!$B$7^($A29-R$2),0),0)</f>
        <v>3</v>
      </c>
      <c r="S29" s="4" t="n">
        <f aca="false">IF($A29&gt;=S$2,ROUND(S$1*Parametry!$B$7^($A29-S$2),0),0)</f>
        <v>9</v>
      </c>
      <c r="T29" s="4" t="n">
        <f aca="false">IF($A29&gt;=T$2,ROUND(T$1*Parametry!$B$7^($A29-T$2),0),0)</f>
        <v>3</v>
      </c>
      <c r="U29" s="4" t="n">
        <f aca="false">IF($A29&gt;=U$2,ROUND(U$1*Parametry!$B$7^($A29-U$2),0),0)</f>
        <v>2</v>
      </c>
      <c r="V29" s="4" t="n">
        <f aca="false">IF($A29&gt;=V$2,ROUND(V$1*Parametry!$B$7^($A29-V$2),0),0)</f>
        <v>1</v>
      </c>
      <c r="W29" s="4" t="n">
        <f aca="false">SUM(D29:V29)</f>
        <v>145</v>
      </c>
      <c r="X29" s="18" t="n">
        <f aca="false">(D29*Nepřátelé!$B$2+E29*Nepřátelé!$B$3+F29*Nepřátelé!$B$4+G29*Nepřátelé!$B$5+H29*Nepřátelé!$B$6+I29*Nepřátelé!$B$7+J29*Nepřátelé!$B$8+K29*Nepřátelé!$B$9+L29*Nepřátelé!$B$10+M29*Nepřátelé!$B$11+N29*Nepřátelé!$B$12+O29*Nepřátelé!$B$13+P29*Nepřátelé!$B$14+Q29*Nepřátelé!$B$15+R29*Nepřátelé!$B$16+S29*Nepřátelé!$B$22+T29*Nepřátelé!$B$24+U29*Nepřátelé!$B$29+V29*Nepřátelé!$B$33)*B29</f>
        <v>269770.816719176</v>
      </c>
      <c r="Y29" s="18" t="n">
        <f aca="false">(D29*Nepřátelé!$C$2+E29*Nepřátelé!$C$3+F29*Nepřátelé!$C$4+G29*Nepřátelé!$C$5+H29*Nepřátelé!$C$6+I29*Nepřátelé!$C$7+J29*Nepřátelé!$C$8+K29*Nepřátelé!$C$9+L29*Nepřátelé!$C$10+M29*Nepřátelé!$C$11+N29*Nepřátelé!$C$12+O29*Nepřátelé!$C$13+P29*Nepřátelé!$C$14+Q29*Nepřátelé!$C$15+R29*Nepřátelé!$C$16+S29*Nepřátelé!$C$22+T29*Nepřátelé!$C$24+U29*Nepřátelé!$C$29+V29*Nepřátelé!$C$33)</f>
        <v>1035</v>
      </c>
      <c r="Z29" s="18" t="n">
        <f aca="false">(D29*Nepřátelé!$E$2+E29*Nepřátelé!$E$3+F29*Nepřátelé!$E$4+G29*Nepřátelé!$E$5+H29*Nepřátelé!$E$6+I29*Nepřátelé!$E$7+J29*Nepřátelé!$E$8+K29*Nepřátelé!$E$9+L29*Nepřátelé!$E$10+M29*Nepřátelé!$E$11+N29*Nepřátelé!$E$12+O29*Nepřátelé!$E$13+P29*Nepřátelé!$E$14+Q29*Nepřátelé!$E$15+R29*Nepřátelé!$E$16+S29*Nepřátelé!$E$22+T29*Nepřátelé!$E$24+U29*Nepřátelé!$E$29+V29*Nepřátelé!$E$33)*B29^Parametry!$B$12</f>
        <v>19895.2530645748</v>
      </c>
      <c r="AA29" s="18" t="n">
        <f aca="false">Parametry!$B$14+Parametry!$B$15*A29</f>
        <v>150</v>
      </c>
      <c r="AB29" s="18" t="n">
        <f aca="false">AB28+Z29+AA29</f>
        <v>117878.360429206</v>
      </c>
      <c r="AC29" s="18" t="n">
        <f aca="false">X29/Parametry!$B$8</f>
        <v>5994.90703820391</v>
      </c>
      <c r="AD29" s="18" t="n">
        <f aca="false">AC29*Parametry!$B$10</f>
        <v>4196.43492674274</v>
      </c>
      <c r="AE29" s="18" t="n">
        <f aca="false">AB28*Parametry!$B$16*Zbraně!$B$40*Parametry!$B$11</f>
        <v>4558.21094803511</v>
      </c>
      <c r="AF29" s="17" t="n">
        <f aca="false">IF(AD29=0,0,AE29/AD29)</f>
        <v>1.08621032557585</v>
      </c>
      <c r="AG29" s="4" t="str">
        <f aca="false">IF(AF29&lt;0.8,"TĚŽKÁ",IF(AF29&gt;2,"LEHKÁ","OK"))</f>
        <v>OK</v>
      </c>
      <c r="AH29" s="7"/>
    </row>
    <row r="30" customFormat="false" ht="15" hidden="false" customHeight="false" outlineLevel="0" collapsed="false">
      <c r="A30" s="4" t="n">
        <v>27</v>
      </c>
      <c r="B30" s="17" t="n">
        <f aca="false">Parametry!$B$6^(A30-1)</f>
        <v>37.8567955127581</v>
      </c>
      <c r="C30" s="17" t="n">
        <f aca="false">Parametry!$B$7^(A30-1)</f>
        <v>7.39635321191687</v>
      </c>
      <c r="D30" s="4" t="n">
        <f aca="false">IF($A30&gt;=D$2,ROUND(D$1*Parametry!$B$7^($A30-D$2),0),0)</f>
        <v>44</v>
      </c>
      <c r="E30" s="4" t="n">
        <f aca="false">IF($A30&gt;=E$2,ROUND(E$1*Parametry!$B$7^($A30-E$2),0),0)</f>
        <v>19</v>
      </c>
      <c r="F30" s="4" t="n">
        <f aca="false">IF($A30&gt;=F$2,ROUND(F$1*Parametry!$B$7^($A30-F$2),0),0)</f>
        <v>13</v>
      </c>
      <c r="G30" s="4" t="n">
        <f aca="false">IF($A30&gt;=G$2,ROUND(G$1*Parametry!$B$7^($A30-G$2),0),0)</f>
        <v>10</v>
      </c>
      <c r="H30" s="4" t="n">
        <f aca="false">IF($A30&gt;=H$2,ROUND(H$1*Parametry!$B$7^($A30-H$2),0),0)</f>
        <v>10</v>
      </c>
      <c r="I30" s="4" t="n">
        <f aca="false">IF($A30&gt;=I$2,ROUND(I$1*Parametry!$B$7^($A30-I$2),0),0)</f>
        <v>8</v>
      </c>
      <c r="J30" s="4" t="n">
        <f aca="false">IF($A30&gt;=J$2,ROUND(J$1*Parametry!$B$7^($A30-J$2),0),0)</f>
        <v>4</v>
      </c>
      <c r="K30" s="4" t="n">
        <f aca="false">IF($A30&gt;=K$2,ROUND(K$1*Parametry!$B$7^($A30-K$2),0),0)</f>
        <v>3</v>
      </c>
      <c r="L30" s="4" t="n">
        <f aca="false">IF($A30&gt;=L$2,ROUND(L$1*Parametry!$B$7^($A30-L$2),0),0)</f>
        <v>3</v>
      </c>
      <c r="M30" s="4" t="n">
        <f aca="false">IF($A30&gt;=M$2,ROUND(M$1*Parametry!$B$7^($A30-M$2),0),0)</f>
        <v>3</v>
      </c>
      <c r="N30" s="4" t="n">
        <f aca="false">IF($A30&gt;=N$2,ROUND(N$1*Parametry!$B$7^($A30-N$2),0),0)</f>
        <v>3</v>
      </c>
      <c r="O30" s="4" t="n">
        <f aca="false">IF($A30&gt;=O$2,ROUND(O$1*Parametry!$B$7^($A30-O$2),0),0)</f>
        <v>2</v>
      </c>
      <c r="P30" s="4" t="n">
        <f aca="false">IF($A30&gt;=P$2,ROUND(P$1*Parametry!$B$7^($A30-P$2),0),0)</f>
        <v>12</v>
      </c>
      <c r="Q30" s="4" t="n">
        <f aca="false">IF($A30&gt;=Q$2,ROUND(Q$1*Parametry!$B$7^($A30-Q$2),0),0)</f>
        <v>4</v>
      </c>
      <c r="R30" s="4" t="n">
        <f aca="false">IF($A30&gt;=R$2,ROUND(R$1*Parametry!$B$7^($A30-R$2),0),0)</f>
        <v>4</v>
      </c>
      <c r="S30" s="4" t="n">
        <f aca="false">IF($A30&gt;=S$2,ROUND(S$1*Parametry!$B$7^($A30-S$2),0),0)</f>
        <v>9</v>
      </c>
      <c r="T30" s="4" t="n">
        <f aca="false">IF($A30&gt;=T$2,ROUND(T$1*Parametry!$B$7^($A30-T$2),0),0)</f>
        <v>3</v>
      </c>
      <c r="U30" s="4" t="n">
        <f aca="false">IF($A30&gt;=U$2,ROUND(U$1*Parametry!$B$7^($A30-U$2),0),0)</f>
        <v>2</v>
      </c>
      <c r="V30" s="4" t="n">
        <f aca="false">IF($A30&gt;=V$2,ROUND(V$1*Parametry!$B$7^($A30-V$2),0),0)</f>
        <v>1</v>
      </c>
      <c r="W30" s="4" t="n">
        <f aca="false">SUM(D30:V30)</f>
        <v>157</v>
      </c>
      <c r="X30" s="18" t="n">
        <f aca="false">(D30*Nepřátelé!$B$2+E30*Nepřátelé!$B$3+F30*Nepřátelé!$B$4+G30*Nepřátelé!$B$5+H30*Nepřátelé!$B$6+I30*Nepřátelé!$B$7+J30*Nepřátelé!$B$8+K30*Nepřátelé!$B$9+L30*Nepřátelé!$B$10+M30*Nepřátelé!$B$11+N30*Nepřátelé!$B$12+O30*Nepřátelé!$B$13+P30*Nepřátelé!$B$14+Q30*Nepřátelé!$B$15+R30*Nepřátelé!$B$16+S30*Nepřátelé!$B$22+T30*Nepřátelé!$B$24+U30*Nepřátelé!$B$29+V30*Nepřátelé!$B$33)*B30</f>
        <v>344686.123143662</v>
      </c>
      <c r="Y30" s="18" t="n">
        <f aca="false">(D30*Nepřátelé!$C$2+E30*Nepřátelé!$C$3+F30*Nepřátelé!$C$4+G30*Nepřátelé!$C$5+H30*Nepřátelé!$C$6+I30*Nepřátelé!$C$7+J30*Nepřátelé!$C$8+K30*Nepřátelé!$C$9+L30*Nepřátelé!$C$10+M30*Nepřátelé!$C$11+N30*Nepřátelé!$C$12+O30*Nepřátelé!$C$13+P30*Nepřátelé!$C$14+Q30*Nepřátelé!$C$15+R30*Nepřátelé!$C$16+S30*Nepřátelé!$C$22+T30*Nepřátelé!$C$24+U30*Nepřátelé!$C$29+V30*Nepřátelé!$C$33)</f>
        <v>1170</v>
      </c>
      <c r="Z30" s="18" t="n">
        <f aca="false">(D30*Nepřátelé!$E$2+E30*Nepřátelé!$E$3+F30*Nepřátelé!$E$4+G30*Nepřátelé!$E$5+H30*Nepřátelé!$E$6+I30*Nepřátelé!$E$7+J30*Nepřátelé!$E$8+K30*Nepřátelé!$E$9+L30*Nepřátelé!$E$10+M30*Nepřátelé!$E$11+N30*Nepřátelé!$E$12+O30*Nepřátelé!$E$13+P30*Nepřátelé!$E$14+Q30*Nepřátelé!$E$15+R30*Nepřátelé!$E$16+S30*Nepřátelé!$E$22+T30*Nepřátelé!$E$24+U30*Nepřátelé!$E$29+V30*Nepřátelé!$E$33)*B30^Parametry!$B$12</f>
        <v>24179.8885839824</v>
      </c>
      <c r="AA30" s="18" t="n">
        <f aca="false">Parametry!$B$14+Parametry!$B$15*A30</f>
        <v>155</v>
      </c>
      <c r="AB30" s="18" t="n">
        <f aca="false">AB29+Z30+AA30</f>
        <v>142213.249013188</v>
      </c>
      <c r="AC30" s="18" t="n">
        <f aca="false">X30/Parametry!$B$8</f>
        <v>7659.69162541471</v>
      </c>
      <c r="AD30" s="18" t="n">
        <f aca="false">AC30*Parametry!$B$10</f>
        <v>5361.7841377903</v>
      </c>
      <c r="AE30" s="18" t="n">
        <f aca="false">AB29*Parametry!$B$16*Zbraně!$B$40*Parametry!$B$11</f>
        <v>5492.15339795173</v>
      </c>
      <c r="AF30" s="17" t="n">
        <f aca="false">IF(AD30=0,0,AE30/AD30)</f>
        <v>1.02431452979291</v>
      </c>
      <c r="AG30" s="4" t="str">
        <f aca="false">IF(AF30&lt;0.8,"TĚŽKÁ",IF(AF30&gt;2,"LEHKÁ","OK"))</f>
        <v>OK</v>
      </c>
      <c r="AH30" s="7"/>
    </row>
    <row r="31" customFormat="false" ht="15" hidden="false" customHeight="false" outlineLevel="0" collapsed="false">
      <c r="A31" s="4" t="n">
        <v>28</v>
      </c>
      <c r="B31" s="17" t="n">
        <f aca="false">Parametry!$B$6^(A31-1)</f>
        <v>43.5353148396718</v>
      </c>
      <c r="C31" s="17" t="n">
        <f aca="false">Parametry!$B$7^(A31-1)</f>
        <v>7.98806146887022</v>
      </c>
      <c r="D31" s="4" t="n">
        <f aca="false">IF($A31&gt;=D$2,ROUND(D$1*Parametry!$B$7^($A31-D$2),0),0)</f>
        <v>48</v>
      </c>
      <c r="E31" s="4" t="n">
        <f aca="false">IF($A31&gt;=E$2,ROUND(E$1*Parametry!$B$7^($A31-E$2),0),0)</f>
        <v>21</v>
      </c>
      <c r="F31" s="4" t="n">
        <f aca="false">IF($A31&gt;=F$2,ROUND(F$1*Parametry!$B$7^($A31-F$2),0),0)</f>
        <v>14</v>
      </c>
      <c r="G31" s="4" t="n">
        <f aca="false">IF($A31&gt;=G$2,ROUND(G$1*Parametry!$B$7^($A31-G$2),0),0)</f>
        <v>11</v>
      </c>
      <c r="H31" s="4" t="n">
        <f aca="false">IF($A31&gt;=H$2,ROUND(H$1*Parametry!$B$7^($A31-H$2),0),0)</f>
        <v>11</v>
      </c>
      <c r="I31" s="4" t="n">
        <f aca="false">IF($A31&gt;=I$2,ROUND(I$1*Parametry!$B$7^($A31-I$2),0),0)</f>
        <v>9</v>
      </c>
      <c r="J31" s="4" t="n">
        <f aca="false">IF($A31&gt;=J$2,ROUND(J$1*Parametry!$B$7^($A31-J$2),0),0)</f>
        <v>4</v>
      </c>
      <c r="K31" s="4" t="n">
        <f aca="false">IF($A31&gt;=K$2,ROUND(K$1*Parametry!$B$7^($A31-K$2),0),0)</f>
        <v>3</v>
      </c>
      <c r="L31" s="4" t="n">
        <f aca="false">IF($A31&gt;=L$2,ROUND(L$1*Parametry!$B$7^($A31-L$2),0),0)</f>
        <v>3</v>
      </c>
      <c r="M31" s="4" t="n">
        <f aca="false">IF($A31&gt;=M$2,ROUND(M$1*Parametry!$B$7^($A31-M$2),0),0)</f>
        <v>3</v>
      </c>
      <c r="N31" s="4" t="n">
        <f aca="false">IF($A31&gt;=N$2,ROUND(N$1*Parametry!$B$7^($A31-N$2),0),0)</f>
        <v>3</v>
      </c>
      <c r="O31" s="4" t="n">
        <f aca="false">IF($A31&gt;=O$2,ROUND(O$1*Parametry!$B$7^($A31-O$2),0),0)</f>
        <v>2</v>
      </c>
      <c r="P31" s="4" t="n">
        <f aca="false">IF($A31&gt;=P$2,ROUND(P$1*Parametry!$B$7^($A31-P$2),0),0)</f>
        <v>13</v>
      </c>
      <c r="Q31" s="4" t="n">
        <f aca="false">IF($A31&gt;=Q$2,ROUND(Q$1*Parametry!$B$7^($A31-Q$2),0),0)</f>
        <v>5</v>
      </c>
      <c r="R31" s="4" t="n">
        <f aca="false">IF($A31&gt;=R$2,ROUND(R$1*Parametry!$B$7^($A31-R$2),0),0)</f>
        <v>4</v>
      </c>
      <c r="S31" s="4" t="n">
        <f aca="false">IF($A31&gt;=S$2,ROUND(S$1*Parametry!$B$7^($A31-S$2),0),0)</f>
        <v>10</v>
      </c>
      <c r="T31" s="4" t="n">
        <f aca="false">IF($A31&gt;=T$2,ROUND(T$1*Parametry!$B$7^($A31-T$2),0),0)</f>
        <v>3</v>
      </c>
      <c r="U31" s="4" t="n">
        <f aca="false">IF($A31&gt;=U$2,ROUND(U$1*Parametry!$B$7^($A31-U$2),0),0)</f>
        <v>2</v>
      </c>
      <c r="V31" s="4" t="n">
        <f aca="false">IF($A31&gt;=V$2,ROUND(V$1*Parametry!$B$7^($A31-V$2),0),0)</f>
        <v>1</v>
      </c>
      <c r="W31" s="4" t="n">
        <f aca="false">SUM(D31:V31)</f>
        <v>170</v>
      </c>
      <c r="X31" s="18" t="n">
        <f aca="false">(D31*Nepřátelé!$B$2+E31*Nepřátelé!$B$3+F31*Nepřátelé!$B$4+G31*Nepřátelé!$B$5+H31*Nepřátelé!$B$6+I31*Nepřátelé!$B$7+J31*Nepřátelé!$B$8+K31*Nepřátelé!$B$9+L31*Nepřátelé!$B$10+M31*Nepřátelé!$B$11+N31*Nepřátelé!$B$12+O31*Nepřátelé!$B$13+P31*Nepřátelé!$B$14+Q31*Nepřátelé!$B$15+R31*Nepřátelé!$B$16+S31*Nepřátelé!$B$22+T31*Nepřátelé!$B$24+U31*Nepřátelé!$B$29+V31*Nepřátelé!$B$33)*B31</f>
        <v>424686.996260998</v>
      </c>
      <c r="Y31" s="18" t="n">
        <f aca="false">(D31*Nepřátelé!$C$2+E31*Nepřátelé!$C$3+F31*Nepřátelé!$C$4+G31*Nepřátelé!$C$5+H31*Nepřátelé!$C$6+I31*Nepřátelé!$C$7+J31*Nepřátelé!$C$8+K31*Nepřátelé!$C$9+L31*Nepřátelé!$C$10+M31*Nepřátelé!$C$11+N31*Nepřátelé!$C$12+O31*Nepřátelé!$C$13+P31*Nepřátelé!$C$14+Q31*Nepřátelé!$C$15+R31*Nepřátelé!$C$16+S31*Nepřátelé!$C$22+T31*Nepřátelé!$C$24+U31*Nepřátelé!$C$29+V31*Nepřátelé!$C$33)</f>
        <v>1247</v>
      </c>
      <c r="Z31" s="18" t="n">
        <f aca="false">(D31*Nepřátelé!$E$2+E31*Nepřátelé!$E$3+F31*Nepřátelé!$E$4+G31*Nepřátelé!$E$5+H31*Nepřátelé!$E$6+I31*Nepřátelé!$E$7+J31*Nepřátelé!$E$8+K31*Nepřátelé!$E$9+L31*Nepřátelé!$E$10+M31*Nepřátelé!$E$11+N31*Nepřátelé!$E$12+O31*Nepřátelé!$E$13+P31*Nepřátelé!$E$14+Q31*Nepřátelé!$E$15+R31*Nepřátelé!$E$16+S31*Nepřátelé!$E$22+T31*Nepřátelé!$E$24+U31*Nepřátelé!$E$29+V31*Nepřátelé!$E$33)*B31^Parametry!$B$12</f>
        <v>28391.286056133</v>
      </c>
      <c r="AA31" s="18" t="n">
        <f aca="false">Parametry!$B$14+Parametry!$B$15*A31</f>
        <v>160</v>
      </c>
      <c r="AB31" s="18" t="n">
        <f aca="false">AB30+Z31+AA31</f>
        <v>170764.535069321</v>
      </c>
      <c r="AC31" s="18" t="n">
        <f aca="false">X31/Parametry!$B$8</f>
        <v>9437.48880579995</v>
      </c>
      <c r="AD31" s="18" t="n">
        <f aca="false">AC31*Parametry!$B$10</f>
        <v>6606.24216405997</v>
      </c>
      <c r="AE31" s="18" t="n">
        <f aca="false">AB30*Parametry!$B$16*Zbraně!$B$40*Parametry!$B$11</f>
        <v>6625.95726609734</v>
      </c>
      <c r="AF31" s="17" t="n">
        <f aca="false">IF(AD31=0,0,AE31/AD31)</f>
        <v>1.00298431416042</v>
      </c>
      <c r="AG31" s="4" t="str">
        <f aca="false">IF(AF31&lt;0.8,"TĚŽKÁ",IF(AF31&gt;2,"LEHKÁ","OK"))</f>
        <v>OK</v>
      </c>
      <c r="AH31" s="7"/>
    </row>
    <row r="32" customFormat="false" ht="15" hidden="false" customHeight="false" outlineLevel="0" collapsed="false">
      <c r="A32" s="4" t="n">
        <v>29</v>
      </c>
      <c r="B32" s="17" t="n">
        <f aca="false">Parametry!$B$6^(A32-1)</f>
        <v>50.0656120656225</v>
      </c>
      <c r="C32" s="17" t="n">
        <f aca="false">Parametry!$B$7^(A32-1)</f>
        <v>8.62710638637984</v>
      </c>
      <c r="D32" s="4" t="n">
        <f aca="false">IF($A32&gt;=D$2,ROUND(D$1*Parametry!$B$7^($A32-D$2),0),0)</f>
        <v>52</v>
      </c>
      <c r="E32" s="4" t="n">
        <f aca="false">IF($A32&gt;=E$2,ROUND(E$1*Parametry!$B$7^($A32-E$2),0),0)</f>
        <v>22</v>
      </c>
      <c r="F32" s="4" t="n">
        <f aca="false">IF($A32&gt;=F$2,ROUND(F$1*Parametry!$B$7^($A32-F$2),0),0)</f>
        <v>15</v>
      </c>
      <c r="G32" s="4" t="n">
        <f aca="false">IF($A32&gt;=G$2,ROUND(G$1*Parametry!$B$7^($A32-G$2),0),0)</f>
        <v>12</v>
      </c>
      <c r="H32" s="4" t="n">
        <f aca="false">IF($A32&gt;=H$2,ROUND(H$1*Parametry!$B$7^($A32-H$2),0),0)</f>
        <v>12</v>
      </c>
      <c r="I32" s="4" t="n">
        <f aca="false">IF($A32&gt;=I$2,ROUND(I$1*Parametry!$B$7^($A32-I$2),0),0)</f>
        <v>9</v>
      </c>
      <c r="J32" s="4" t="n">
        <f aca="false">IF($A32&gt;=J$2,ROUND(J$1*Parametry!$B$7^($A32-J$2),0),0)</f>
        <v>5</v>
      </c>
      <c r="K32" s="4" t="n">
        <f aca="false">IF($A32&gt;=K$2,ROUND(K$1*Parametry!$B$7^($A32-K$2),0),0)</f>
        <v>4</v>
      </c>
      <c r="L32" s="4" t="n">
        <f aca="false">IF($A32&gt;=L$2,ROUND(L$1*Parametry!$B$7^($A32-L$2),0),0)</f>
        <v>4</v>
      </c>
      <c r="M32" s="4" t="n">
        <f aca="false">IF($A32&gt;=M$2,ROUND(M$1*Parametry!$B$7^($A32-M$2),0),0)</f>
        <v>3</v>
      </c>
      <c r="N32" s="4" t="n">
        <f aca="false">IF($A32&gt;=N$2,ROUND(N$1*Parametry!$B$7^($A32-N$2),0),0)</f>
        <v>3</v>
      </c>
      <c r="O32" s="4" t="n">
        <f aca="false">IF($A32&gt;=O$2,ROUND(O$1*Parametry!$B$7^($A32-O$2),0),0)</f>
        <v>2</v>
      </c>
      <c r="P32" s="4" t="n">
        <f aca="false">IF($A32&gt;=P$2,ROUND(P$1*Parametry!$B$7^($A32-P$2),0),0)</f>
        <v>14</v>
      </c>
      <c r="Q32" s="4" t="n">
        <f aca="false">IF($A32&gt;=Q$2,ROUND(Q$1*Parametry!$B$7^($A32-Q$2),0),0)</f>
        <v>5</v>
      </c>
      <c r="R32" s="4" t="n">
        <f aca="false">IF($A32&gt;=R$2,ROUND(R$1*Parametry!$B$7^($A32-R$2),0),0)</f>
        <v>4</v>
      </c>
      <c r="S32" s="4" t="n">
        <f aca="false">IF($A32&gt;=S$2,ROUND(S$1*Parametry!$B$7^($A32-S$2),0),0)</f>
        <v>11</v>
      </c>
      <c r="T32" s="4" t="n">
        <f aca="false">IF($A32&gt;=T$2,ROUND(T$1*Parametry!$B$7^($A32-T$2),0),0)</f>
        <v>3</v>
      </c>
      <c r="U32" s="4" t="n">
        <f aca="false">IF($A32&gt;=U$2,ROUND(U$1*Parametry!$B$7^($A32-U$2),0),0)</f>
        <v>2</v>
      </c>
      <c r="V32" s="4" t="n">
        <f aca="false">IF($A32&gt;=V$2,ROUND(V$1*Parametry!$B$7^($A32-V$2),0),0)</f>
        <v>1</v>
      </c>
      <c r="W32" s="4" t="n">
        <f aca="false">SUM(D32:V32)</f>
        <v>183</v>
      </c>
      <c r="X32" s="18" t="n">
        <f aca="false">(D32*Nepřátelé!$B$2+E32*Nepřátelé!$B$3+F32*Nepřátelé!$B$4+G32*Nepřátelé!$B$5+H32*Nepřátelé!$B$6+I32*Nepřátelé!$B$7+J32*Nepřátelé!$B$8+K32*Nepřátelé!$B$9+L32*Nepřátelé!$B$10+M32*Nepřátelé!$B$11+N32*Nepřátelé!$B$12+O32*Nepřátelé!$B$13+P32*Nepřátelé!$B$14+Q32*Nepřátelé!$B$15+R32*Nepřátelé!$B$16+S32*Nepřátelé!$B$22+T32*Nepřátelé!$B$24+U32*Nepřátelé!$B$29+V32*Nepřátelé!$B$33)*B32</f>
        <v>518930.069060177</v>
      </c>
      <c r="Y32" s="18" t="n">
        <f aca="false">(D32*Nepřátelé!$C$2+E32*Nepřátelé!$C$3+F32*Nepřátelé!$C$4+G32*Nepřátelé!$C$5+H32*Nepřátelé!$C$6+I32*Nepřátelé!$C$7+J32*Nepřátelé!$C$8+K32*Nepřátelé!$C$9+L32*Nepřátelé!$C$10+M32*Nepřátelé!$C$11+N32*Nepřátelé!$C$12+O32*Nepřátelé!$C$13+P32*Nepřátelé!$C$14+Q32*Nepřátelé!$C$15+R32*Nepřátelé!$C$16+S32*Nepřátelé!$C$22+T32*Nepřátelé!$C$24+U32*Nepřátelé!$C$29+V32*Nepřátelé!$C$33)</f>
        <v>1313</v>
      </c>
      <c r="Z32" s="18" t="n">
        <f aca="false">(D32*Nepřátelé!$E$2+E32*Nepřátelé!$E$3+F32*Nepřátelé!$E$4+G32*Nepřátelé!$E$5+H32*Nepřátelé!$E$6+I32*Nepřátelé!$E$7+J32*Nepřátelé!$E$8+K32*Nepřátelé!$E$9+L32*Nepřátelé!$E$10+M32*Nepřátelé!$E$11+N32*Nepřátelé!$E$12+O32*Nepřátelé!$E$13+P32*Nepřátelé!$E$14+Q32*Nepřátelé!$E$15+R32*Nepřátelé!$E$16+S32*Nepřátelé!$E$22+T32*Nepřátelé!$E$24+U32*Nepřátelé!$E$29+V32*Nepřátelé!$E$33)*B32^Parametry!$B$12</f>
        <v>33677.2454312652</v>
      </c>
      <c r="AA32" s="18" t="n">
        <f aca="false">Parametry!$B$14+Parametry!$B$15*A32</f>
        <v>165</v>
      </c>
      <c r="AB32" s="18" t="n">
        <f aca="false">AB31+Z32+AA32</f>
        <v>204606.780500586</v>
      </c>
      <c r="AC32" s="18" t="n">
        <f aca="false">X32/Parametry!$B$8</f>
        <v>11531.7793124484</v>
      </c>
      <c r="AD32" s="18" t="n">
        <f aca="false">AC32*Parametry!$B$10</f>
        <v>8072.24551871387</v>
      </c>
      <c r="AE32" s="18" t="n">
        <f aca="false">AB31*Parametry!$B$16*Zbraně!$B$40*Parametry!$B$11</f>
        <v>7956.21026722605</v>
      </c>
      <c r="AF32" s="17" t="n">
        <f aca="false">IF(AD32=0,0,AE32/AD32)</f>
        <v>0.985625406063428</v>
      </c>
      <c r="AG32" s="4" t="str">
        <f aca="false">IF(AF32&lt;0.8,"TĚŽKÁ",IF(AF32&gt;2,"LEHKÁ","OK"))</f>
        <v>OK</v>
      </c>
      <c r="AH32" s="7"/>
    </row>
    <row r="33" customFormat="false" ht="15" hidden="false" customHeight="false" outlineLevel="0" collapsed="false">
      <c r="A33" s="4" t="n">
        <v>30</v>
      </c>
      <c r="B33" s="17" t="n">
        <f aca="false">Parametry!$B$6^(A33-1)</f>
        <v>57.5754538754659</v>
      </c>
      <c r="C33" s="17" t="n">
        <f aca="false">Parametry!$B$7^(A33-1)</f>
        <v>9.31727489729023</v>
      </c>
      <c r="D33" s="4" t="n">
        <f aca="false">IF($A33&gt;=D$2,ROUND(D$1*Parametry!$B$7^($A33-D$2),0),0)</f>
        <v>56</v>
      </c>
      <c r="E33" s="4" t="n">
        <f aca="false">IF($A33&gt;=E$2,ROUND(E$1*Parametry!$B$7^($A33-E$2),0),0)</f>
        <v>24</v>
      </c>
      <c r="F33" s="4" t="n">
        <f aca="false">IF($A33&gt;=F$2,ROUND(F$1*Parametry!$B$7^($A33-F$2),0),0)</f>
        <v>16</v>
      </c>
      <c r="G33" s="4" t="n">
        <f aca="false">IF($A33&gt;=G$2,ROUND(G$1*Parametry!$B$7^($A33-G$2),0),0)</f>
        <v>13</v>
      </c>
      <c r="H33" s="4" t="n">
        <f aca="false">IF($A33&gt;=H$2,ROUND(H$1*Parametry!$B$7^($A33-H$2),0),0)</f>
        <v>13</v>
      </c>
      <c r="I33" s="4" t="n">
        <f aca="false">IF($A33&gt;=I$2,ROUND(I$1*Parametry!$B$7^($A33-I$2),0),0)</f>
        <v>10</v>
      </c>
      <c r="J33" s="4" t="n">
        <f aca="false">IF($A33&gt;=J$2,ROUND(J$1*Parametry!$B$7^($A33-J$2),0),0)</f>
        <v>5</v>
      </c>
      <c r="K33" s="4" t="n">
        <f aca="false">IF($A33&gt;=K$2,ROUND(K$1*Parametry!$B$7^($A33-K$2),0),0)</f>
        <v>4</v>
      </c>
      <c r="L33" s="4" t="n">
        <f aca="false">IF($A33&gt;=L$2,ROUND(L$1*Parametry!$B$7^($A33-L$2),0),0)</f>
        <v>4</v>
      </c>
      <c r="M33" s="4" t="n">
        <f aca="false">IF($A33&gt;=M$2,ROUND(M$1*Parametry!$B$7^($A33-M$2),0),0)</f>
        <v>3</v>
      </c>
      <c r="N33" s="4" t="n">
        <f aca="false">IF($A33&gt;=N$2,ROUND(N$1*Parametry!$B$7^($A33-N$2),0),0)</f>
        <v>3</v>
      </c>
      <c r="O33" s="4" t="n">
        <f aca="false">IF($A33&gt;=O$2,ROUND(O$1*Parametry!$B$7^($A33-O$2),0),0)</f>
        <v>3</v>
      </c>
      <c r="P33" s="4" t="n">
        <f aca="false">IF($A33&gt;=P$2,ROUND(P$1*Parametry!$B$7^($A33-P$2),0),0)</f>
        <v>15</v>
      </c>
      <c r="Q33" s="4" t="n">
        <f aca="false">IF($A33&gt;=Q$2,ROUND(Q$1*Parametry!$B$7^($A33-Q$2),0),0)</f>
        <v>5</v>
      </c>
      <c r="R33" s="4" t="n">
        <f aca="false">IF($A33&gt;=R$2,ROUND(R$1*Parametry!$B$7^($A33-R$2),0),0)</f>
        <v>5</v>
      </c>
      <c r="S33" s="4" t="n">
        <f aca="false">IF($A33&gt;=S$2,ROUND(S$1*Parametry!$B$7^($A33-S$2),0),0)</f>
        <v>12</v>
      </c>
      <c r="T33" s="4" t="n">
        <f aca="false">IF($A33&gt;=T$2,ROUND(T$1*Parametry!$B$7^($A33-T$2),0),0)</f>
        <v>4</v>
      </c>
      <c r="U33" s="4" t="n">
        <f aca="false">IF($A33&gt;=U$2,ROUND(U$1*Parametry!$B$7^($A33-U$2),0),0)</f>
        <v>3</v>
      </c>
      <c r="V33" s="4" t="n">
        <f aca="false">IF($A33&gt;=V$2,ROUND(V$1*Parametry!$B$7^($A33-V$2),0),0)</f>
        <v>1</v>
      </c>
      <c r="W33" s="4" t="n">
        <f aca="false">SUM(D33:V33)</f>
        <v>199</v>
      </c>
      <c r="X33" s="18" t="n">
        <f aca="false">(D33*Nepřátelé!$B$2+E33*Nepřátelé!$B$3+F33*Nepřátelé!$B$4+G33*Nepřátelé!$B$5+H33*Nepřátelé!$B$6+I33*Nepřátelé!$B$7+J33*Nepřátelé!$B$8+K33*Nepřátelé!$B$9+L33*Nepřátelé!$B$10+M33*Nepřátelé!$B$11+N33*Nepřátelé!$B$12+O33*Nepřátelé!$B$13+P33*Nepřátelé!$B$14+Q33*Nepřátelé!$B$15+R33*Nepřátelé!$B$16+S33*Nepřátelé!$B$22+T33*Nepřátelé!$B$24+U33*Nepřátelé!$B$29+V33*Nepřátelé!$B$33)*B33</f>
        <v>656648.051449689</v>
      </c>
      <c r="Y33" s="18" t="n">
        <f aca="false">(D33*Nepřátelé!$C$2+E33*Nepřátelé!$C$3+F33*Nepřátelé!$C$4+G33*Nepřátelé!$C$5+H33*Nepřátelé!$C$6+I33*Nepřátelé!$C$7+J33*Nepřátelé!$C$8+K33*Nepřátelé!$C$9+L33*Nepřátelé!$C$10+M33*Nepřátelé!$C$11+N33*Nepřátelé!$C$12+O33*Nepřátelé!$C$13+P33*Nepřátelé!$C$14+Q33*Nepřátelé!$C$15+R33*Nepřátelé!$C$16+S33*Nepřátelé!$C$22+T33*Nepřátelé!$C$24+U33*Nepřátelé!$C$29+V33*Nepřátelé!$C$33)</f>
        <v>1430</v>
      </c>
      <c r="Z33" s="18" t="n">
        <f aca="false">(D33*Nepřátelé!$E$2+E33*Nepřátelé!$E$3+F33*Nepřátelé!$E$4+G33*Nepřátelé!$E$5+H33*Nepřátelé!$E$6+I33*Nepřátelé!$E$7+J33*Nepřátelé!$E$8+K33*Nepřátelé!$E$9+L33*Nepřátelé!$E$10+M33*Nepřátelé!$E$11+N33*Nepřátelé!$E$12+O33*Nepřátelé!$E$13+P33*Nepřátelé!$E$14+Q33*Nepřátelé!$E$15+R33*Nepřátelé!$E$16+S33*Nepřátelé!$E$22+T33*Nepřátelé!$E$24+U33*Nepřátelé!$E$29+V33*Nepřátelé!$E$33)*B33^Parametry!$B$12</f>
        <v>40722.7031504733</v>
      </c>
      <c r="AA33" s="18" t="n">
        <f aca="false">Parametry!$B$14+Parametry!$B$15*A33</f>
        <v>170</v>
      </c>
      <c r="AB33" s="18" t="n">
        <f aca="false">AB32+Z33+AA33</f>
        <v>245499.483651059</v>
      </c>
      <c r="AC33" s="18" t="n">
        <f aca="false">X33/Parametry!$B$8</f>
        <v>14592.1789211042</v>
      </c>
      <c r="AD33" s="18" t="n">
        <f aca="false">AC33*Parametry!$B$10</f>
        <v>10214.5252447729</v>
      </c>
      <c r="AE33" s="18" t="n">
        <f aca="false">AB32*Parametry!$B$16*Zbraně!$B$40*Parametry!$B$11</f>
        <v>9532.97806890637</v>
      </c>
      <c r="AF33" s="17" t="n">
        <f aca="false">IF(AD33=0,0,AE33/AD33)</f>
        <v>0.933276666361432</v>
      </c>
      <c r="AG33" s="4" t="str">
        <f aca="false">IF(AF33&lt;0.8,"TĚŽKÁ",IF(AF33&gt;2,"LEHKÁ","OK"))</f>
        <v>OK</v>
      </c>
      <c r="AH33" s="7" t="s">
        <v>296</v>
      </c>
    </row>
    <row r="36" customFormat="false" ht="15" hidden="false" customHeight="false" outlineLevel="0" collapsed="false">
      <c r="A36" s="2" t="s">
        <v>334</v>
      </c>
    </row>
    <row r="37" customFormat="false" ht="15" hidden="false" customHeight="false" outlineLevel="0" collapsed="false">
      <c r="A37" s="2" t="s">
        <v>335</v>
      </c>
    </row>
    <row r="38" customFormat="false" ht="15" hidden="false" customHeight="false" outlineLevel="0" collapsed="false">
      <c r="A38" s="2" t="s">
        <v>336</v>
      </c>
    </row>
    <row r="39" customFormat="false" ht="15" hidden="false" customHeight="false" outlineLevel="0" collapsed="false">
      <c r="A39" s="2" t="s">
        <v>337</v>
      </c>
    </row>
    <row r="40" customFormat="false" ht="15" hidden="false" customHeight="false" outlineLevel="0" collapsed="false">
      <c r="A40" s="2" t="s">
        <v>338</v>
      </c>
    </row>
    <row r="41" customFormat="false" ht="15" hidden="false" customHeight="false" outlineLevel="0" collapsed="false">
      <c r="A41" s="2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2026-09-12T09:03:44Z</dcterms:created>
  <dc:creator>openpyxl</dc:creator>
  <dc:description/>
  <dc:language>en-US</dc:language>
  <cp:lastModifiedBy/>
  <dcterms:modified xsi:type="dcterms:W3CDTF">2026-09-12T09:03:44Z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